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33CB3E58-E5C1-4029-B591-224B89936B0C}" xr6:coauthVersionLast="36" xr6:coauthVersionMax="36" xr10:uidLastSave="{00000000-0000-0000-0000-000000000000}"/>
  <bookViews>
    <workbookView xWindow="0" yWindow="0" windowWidth="38400" windowHeight="17535" activeTab="7" xr2:uid="{00000000-000D-0000-FFFF-FFFF00000000}"/>
  </bookViews>
  <sheets>
    <sheet name="方案" sheetId="1" r:id="rId1"/>
    <sheet name="画面" sheetId="2" r:id="rId2"/>
    <sheet name="功能一览表" sheetId="7" r:id="rId3"/>
    <sheet name="报工数据流程" sheetId="3" r:id="rId4"/>
    <sheet name="报工LIST表" sheetId="4" r:id="rId5"/>
    <sheet name="报工明细表" sheetId="5" r:id="rId6"/>
    <sheet name="报工画面" sheetId="6" r:id="rId7"/>
    <sheet name="报工开发资料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7" l="1"/>
  <c r="B10" i="5" l="1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9" i="5"/>
  <c r="B8" i="5"/>
  <c r="B7" i="5"/>
  <c r="B8" i="4" l="1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7" i="4"/>
</calcChain>
</file>

<file path=xl/sharedStrings.xml><?xml version="1.0" encoding="utf-8"?>
<sst xmlns="http://schemas.openxmlformats.org/spreadsheetml/2006/main" count="548" uniqueCount="266">
  <si>
    <t>特记：</t>
    <phoneticPr fontId="6" type="noConversion"/>
  </si>
  <si>
    <t>虚拟生产线SRM1334A，要同时兼容3条生产线检查，所以不可以实施自动报工</t>
    <phoneticPr fontId="6" type="noConversion"/>
  </si>
  <si>
    <t>考虑对应方法：</t>
    <phoneticPr fontId="6" type="noConversion"/>
  </si>
  <si>
    <t>系统追加配置管理，对每条生产线是否可实施自动报工进行配置</t>
    <phoneticPr fontId="6" type="noConversion"/>
  </si>
  <si>
    <t>案1：单独管理CONFIG文件</t>
    <phoneticPr fontId="6" type="noConversion"/>
  </si>
  <si>
    <t>案2：管理生产线MS，标记是否可自动报工</t>
    <phoneticPr fontId="6" type="noConversion"/>
  </si>
  <si>
    <t>自动报工方案：</t>
    <phoneticPr fontId="6" type="noConversion"/>
  </si>
  <si>
    <t>条件</t>
    <phoneticPr fontId="6" type="noConversion"/>
  </si>
  <si>
    <t>同一工单初终检查OK（即存在两次及两次以上检查，且检查结果全部OK）</t>
    <phoneticPr fontId="6" type="noConversion"/>
  </si>
  <si>
    <t>方案：</t>
    <phoneticPr fontId="6" type="noConversion"/>
  </si>
  <si>
    <t>问题：</t>
    <phoneticPr fontId="6" type="noConversion"/>
  </si>
  <si>
    <t>1、大批次工单如果不及时报工，会影响COGI及时处理，如何处理</t>
    <phoneticPr fontId="6" type="noConversion"/>
  </si>
  <si>
    <t>2、正常PDA报工时，同一工单会分托盘，即分多张生产明细书，自动报工如何处理</t>
    <phoneticPr fontId="6" type="noConversion"/>
  </si>
  <si>
    <t>3、自动报工后，担当再次使用PDA报工如何处理？</t>
    <phoneticPr fontId="6" type="noConversion"/>
  </si>
  <si>
    <t>如果2可行，那么【报工服务端】会自动防止相同生产明细书的再次报工</t>
    <phoneticPr fontId="6" type="noConversion"/>
  </si>
  <si>
    <t>4、月末日如何处理</t>
    <phoneticPr fontId="6" type="noConversion"/>
  </si>
  <si>
    <t>月末日停止自动报工</t>
    <phoneticPr fontId="6" type="noConversion"/>
  </si>
  <si>
    <t>集中报工，导致COGI多</t>
    <phoneticPr fontId="6" type="noConversion"/>
  </si>
  <si>
    <t>不好的地方：生产线新规时，需要管理CONFIG文件，易忘</t>
    <phoneticPr fontId="6" type="noConversion"/>
  </si>
  <si>
    <t>不好的地方：需要重新开发功能</t>
    <phoneticPr fontId="6" type="noConversion"/>
  </si>
  <si>
    <t>5、国内贩卖工单数量1居多，不存在初终两次检查</t>
    <phoneticPr fontId="6" type="noConversion"/>
  </si>
  <si>
    <t>每张现品票检查完了时，判断是否报工，追加判断</t>
    <phoneticPr fontId="6" type="noConversion"/>
  </si>
  <si>
    <t>如果工单数量&gt;设定值（考虑1或2），即需要2次及以上检查OK</t>
    <phoneticPr fontId="6" type="noConversion"/>
  </si>
  <si>
    <t>否则，直接报工</t>
    <phoneticPr fontId="6" type="noConversion"/>
  </si>
  <si>
    <t>大批次工单是否存在&gt;2次的检查，如果存在，即在第2次检查后就报工了</t>
    <phoneticPr fontId="6" type="noConversion"/>
  </si>
  <si>
    <t>大批次工单如果生产区间太长，如何处理？</t>
    <phoneticPr fontId="6" type="noConversion"/>
  </si>
  <si>
    <t>如果使用了PDA先行报工了？PAD现品票如何处理？是否会发生其它错误？如何防止与提示？</t>
    <phoneticPr fontId="6" type="noConversion"/>
  </si>
  <si>
    <r>
      <t>现场反应P</t>
    </r>
    <r>
      <rPr>
        <sz val="10"/>
        <color theme="1"/>
        <rFont val="微软雅黑"/>
        <family val="2"/>
        <charset val="134"/>
      </rPr>
      <t>DA报工网络不稳定</t>
    </r>
    <phoneticPr fontId="6" type="noConversion"/>
  </si>
  <si>
    <t>生产线</t>
    <phoneticPr fontId="6" type="noConversion"/>
  </si>
  <si>
    <t>计划日期</t>
    <phoneticPr fontId="6" type="noConversion"/>
  </si>
  <si>
    <t>报工进展一览</t>
    <phoneticPr fontId="6" type="noConversion"/>
  </si>
  <si>
    <t>作番</t>
    <phoneticPr fontId="6" type="noConversion"/>
  </si>
  <si>
    <t>9007024685</t>
    <phoneticPr fontId="6" type="noConversion"/>
  </si>
  <si>
    <t>CODE</t>
    <phoneticPr fontId="6" type="noConversion"/>
  </si>
  <si>
    <t>YY-0033-MAMF</t>
  </si>
  <si>
    <t>YY-0033-MAMF</t>
    <phoneticPr fontId="6" type="noConversion"/>
  </si>
  <si>
    <t>数量</t>
    <phoneticPr fontId="6" type="noConversion"/>
  </si>
  <si>
    <t>托盘数</t>
    <phoneticPr fontId="6" type="noConversion"/>
  </si>
  <si>
    <t>报工</t>
    <phoneticPr fontId="6" type="noConversion"/>
  </si>
  <si>
    <t>计划数量</t>
    <phoneticPr fontId="6" type="noConversion"/>
  </si>
  <si>
    <t>报工数量</t>
    <phoneticPr fontId="6" type="noConversion"/>
  </si>
  <si>
    <t>报工结果</t>
    <phoneticPr fontId="6" type="noConversion"/>
  </si>
  <si>
    <t>查看详细</t>
    <phoneticPr fontId="6" type="noConversion"/>
  </si>
  <si>
    <t>检查OK次数</t>
    <phoneticPr fontId="6" type="noConversion"/>
  </si>
  <si>
    <t>查看</t>
    <phoneticPr fontId="6" type="noConversion"/>
  </si>
  <si>
    <t>OK</t>
    <phoneticPr fontId="6" type="noConversion"/>
  </si>
  <si>
    <t>9007024686</t>
    <phoneticPr fontId="6" type="noConversion"/>
  </si>
  <si>
    <t>9007024687</t>
    <phoneticPr fontId="6" type="noConversion"/>
  </si>
  <si>
    <t>9007024688</t>
    <phoneticPr fontId="6" type="noConversion"/>
  </si>
  <si>
    <t>报工完了时间</t>
    <phoneticPr fontId="6" type="noConversion"/>
  </si>
  <si>
    <t>NG</t>
    <phoneticPr fontId="6" type="noConversion"/>
  </si>
  <si>
    <t>共有 5 条工单，报工完了 3条，未报工 1条 ,NG 1条 （总计划数 106，报工完了 96，未报工 10 ）</t>
    <phoneticPr fontId="6" type="noConversion"/>
  </si>
  <si>
    <t>托盘序号</t>
    <phoneticPr fontId="6" type="noConversion"/>
  </si>
  <si>
    <t>No</t>
  </si>
  <si>
    <t>列名(日本語)</t>
  </si>
  <si>
    <t>列名(英字)</t>
  </si>
  <si>
    <t>型</t>
  </si>
  <si>
    <t>桁数</t>
  </si>
  <si>
    <t>Primary</t>
  </si>
  <si>
    <t>Not</t>
  </si>
  <si>
    <t>初期値</t>
    <rPh sb="0" eb="3">
      <t>ショキチ</t>
    </rPh>
    <phoneticPr fontId="13"/>
  </si>
  <si>
    <t>画面表示時</t>
    <phoneticPr fontId="13"/>
  </si>
  <si>
    <t>備考</t>
  </si>
  <si>
    <t>Key</t>
  </si>
  <si>
    <t>Null</t>
  </si>
  <si>
    <t>桁数</t>
    <rPh sb="0" eb="2">
      <t>ケタスウ</t>
    </rPh>
    <phoneticPr fontId="13"/>
  </si>
  <si>
    <t>NUMERIC</t>
    <phoneticPr fontId="13"/>
  </si>
  <si>
    <t>○</t>
  </si>
  <si>
    <t>○</t>
    <phoneticPr fontId="13"/>
  </si>
  <si>
    <t>NVARCHAR</t>
    <phoneticPr fontId="13"/>
  </si>
  <si>
    <t>○</t>
    <phoneticPr fontId="13"/>
  </si>
  <si>
    <t>NUMERIC</t>
    <phoneticPr fontId="13"/>
  </si>
  <si>
    <t>自增</t>
    <phoneticPr fontId="13"/>
  </si>
  <si>
    <t>CODE</t>
    <phoneticPr fontId="13"/>
  </si>
  <si>
    <t>VARCHAR</t>
    <phoneticPr fontId="13"/>
  </si>
  <si>
    <t>删除区分</t>
    <phoneticPr fontId="13"/>
  </si>
  <si>
    <t>deleteFlag</t>
    <phoneticPr fontId="13"/>
  </si>
  <si>
    <t>登录者</t>
    <phoneticPr fontId="13"/>
  </si>
  <si>
    <t>insertUser</t>
    <phoneticPr fontId="13"/>
  </si>
  <si>
    <t>insertDate</t>
    <phoneticPr fontId="13"/>
  </si>
  <si>
    <t>DATETIME</t>
    <phoneticPr fontId="13"/>
  </si>
  <si>
    <t>更新者</t>
    <phoneticPr fontId="13"/>
  </si>
  <si>
    <t>updateUser</t>
    <phoneticPr fontId="13"/>
  </si>
  <si>
    <t>updateDate</t>
    <phoneticPr fontId="13"/>
  </si>
  <si>
    <t>人员、组织、权限等</t>
    <phoneticPr fontId="13"/>
  </si>
  <si>
    <t>0,未删除  1,删除</t>
    <phoneticPr fontId="13"/>
  </si>
  <si>
    <t>登录时间</t>
    <phoneticPr fontId="13"/>
  </si>
  <si>
    <t>更新时间</t>
    <phoneticPr fontId="13"/>
  </si>
  <si>
    <t>orID</t>
    <phoneticPr fontId="13"/>
  </si>
  <si>
    <t>自增</t>
    <phoneticPr fontId="13"/>
  </si>
  <si>
    <t>工单号</t>
    <phoneticPr fontId="13"/>
  </si>
  <si>
    <t>托盘序号</t>
    <phoneticPr fontId="13"/>
  </si>
  <si>
    <t>计划数</t>
    <phoneticPr fontId="13"/>
  </si>
  <si>
    <t>WMM-AA09MK-MEZ9/MM-AA09MK-MEZ9/6/6/4106/AX86/1/9006379652</t>
  </si>
  <si>
    <t>sapCode</t>
    <phoneticPr fontId="6" type="noConversion"/>
  </si>
  <si>
    <t>向先</t>
    <phoneticPr fontId="6" type="noConversion"/>
  </si>
  <si>
    <t>捆包入数</t>
    <phoneticPr fontId="13"/>
  </si>
  <si>
    <t>捆包数</t>
    <phoneticPr fontId="13"/>
  </si>
  <si>
    <t>托盘入数</t>
    <phoneticPr fontId="6" type="noConversion"/>
  </si>
  <si>
    <t>DestinationCode</t>
    <phoneticPr fontId="6" type="noConversion"/>
  </si>
  <si>
    <t>库位</t>
    <phoneticPr fontId="6" type="noConversion"/>
  </si>
  <si>
    <t>localStorage</t>
  </si>
  <si>
    <t>计算</t>
    <phoneticPr fontId="6" type="noConversion"/>
  </si>
  <si>
    <t>trolleyAmount</t>
    <phoneticPr fontId="6" type="noConversion"/>
  </si>
  <si>
    <t>Package</t>
    <phoneticPr fontId="6" type="noConversion"/>
  </si>
  <si>
    <t>PackageAmount</t>
    <phoneticPr fontId="6" type="noConversion"/>
  </si>
  <si>
    <t>amount</t>
    <phoneticPr fontId="6" type="noConversion"/>
  </si>
  <si>
    <t>ProductCode</t>
    <phoneticPr fontId="6" type="noConversion"/>
  </si>
  <si>
    <t>ProductCodeSap</t>
    <phoneticPr fontId="6" type="noConversion"/>
  </si>
  <si>
    <t>备注1</t>
    <phoneticPr fontId="6" type="noConversion"/>
  </si>
  <si>
    <t>备注2</t>
    <phoneticPr fontId="6" type="noConversion"/>
  </si>
  <si>
    <t>备注3</t>
    <phoneticPr fontId="6" type="noConversion"/>
  </si>
  <si>
    <t>生产明细书QR</t>
    <phoneticPr fontId="6" type="noConversion"/>
  </si>
  <si>
    <t>报工一览表</t>
    <phoneticPr fontId="6" type="noConversion"/>
  </si>
  <si>
    <t>记录工单报工情况总览及必要数据记录用</t>
    <phoneticPr fontId="6" type="noConversion"/>
  </si>
  <si>
    <t>模拟生产明细书用</t>
    <phoneticPr fontId="6" type="noConversion"/>
  </si>
  <si>
    <t>回更</t>
    <phoneticPr fontId="6" type="noConversion"/>
  </si>
  <si>
    <t>报工发送数据</t>
    <phoneticPr fontId="6" type="noConversion"/>
  </si>
  <si>
    <t>报工数量</t>
    <phoneticPr fontId="13"/>
  </si>
  <si>
    <t>报工结果</t>
    <phoneticPr fontId="13"/>
  </si>
  <si>
    <t>报工文本</t>
    <phoneticPr fontId="13"/>
  </si>
  <si>
    <t>按托盘分开后的数量，如果不整除，算入最后一张报工数据调整</t>
    <phoneticPr fontId="6" type="noConversion"/>
  </si>
  <si>
    <t>OK、NG</t>
    <phoneticPr fontId="6" type="noConversion"/>
  </si>
  <si>
    <t>OK:报工号  NG：错误信息</t>
    <phoneticPr fontId="6" type="noConversion"/>
  </si>
  <si>
    <t>按托盘计算后的序号</t>
    <phoneticPr fontId="6" type="noConversion"/>
  </si>
  <si>
    <t>报工担当</t>
    <phoneticPr fontId="6" type="noConversion"/>
  </si>
  <si>
    <t>自动：AUTO   手动：登录担当</t>
    <phoneticPr fontId="6" type="noConversion"/>
  </si>
  <si>
    <t>报工类型</t>
    <phoneticPr fontId="6" type="noConversion"/>
  </si>
  <si>
    <t>自动、手动</t>
    <phoneticPr fontId="6" type="noConversion"/>
  </si>
  <si>
    <t>次数</t>
    <phoneticPr fontId="6" type="noConversion"/>
  </si>
  <si>
    <t>同一工单+序号可能多次报工，计数用</t>
    <phoneticPr fontId="6" type="noConversion"/>
  </si>
  <si>
    <t>模拟生产明细书QR:WMM-AA09MK-MEZ9/MM-AA09MK-MEZ9/6/6/4106/AX86/1/9006379652</t>
    <phoneticPr fontId="6" type="noConversion"/>
  </si>
  <si>
    <t>报工明细表</t>
    <phoneticPr fontId="6" type="noConversion"/>
  </si>
  <si>
    <t>记录工单的详细报工情况</t>
    <phoneticPr fontId="6" type="noConversion"/>
  </si>
  <si>
    <t>检查OK次数</t>
    <phoneticPr fontId="13"/>
  </si>
  <si>
    <t>工单号</t>
    <phoneticPr fontId="6" type="noConversion"/>
  </si>
  <si>
    <t>CODE</t>
    <phoneticPr fontId="6" type="noConversion"/>
  </si>
  <si>
    <t>计划数量</t>
    <phoneticPr fontId="6" type="noConversion"/>
  </si>
  <si>
    <t>结果</t>
    <phoneticPr fontId="6" type="noConversion"/>
  </si>
  <si>
    <t>时间</t>
    <phoneticPr fontId="6" type="noConversion"/>
  </si>
  <si>
    <t>操作担当</t>
    <phoneticPr fontId="6" type="noConversion"/>
  </si>
  <si>
    <t>操作方式</t>
    <phoneticPr fontId="6" type="noConversion"/>
  </si>
  <si>
    <t>消息文本</t>
    <phoneticPr fontId="6" type="noConversion"/>
  </si>
  <si>
    <t>9007024686</t>
    <phoneticPr fontId="6" type="noConversion"/>
  </si>
  <si>
    <t>OK</t>
    <phoneticPr fontId="6" type="noConversion"/>
  </si>
  <si>
    <t>63965232</t>
    <phoneticPr fontId="6" type="noConversion"/>
  </si>
  <si>
    <t>2018-08-18 09:30</t>
    <phoneticPr fontId="6" type="noConversion"/>
  </si>
  <si>
    <t>SYSTEM</t>
    <phoneticPr fontId="6" type="noConversion"/>
  </si>
  <si>
    <t>系统自动</t>
    <phoneticPr fontId="6" type="noConversion"/>
  </si>
  <si>
    <t>报工记录</t>
    <phoneticPr fontId="6" type="noConversion"/>
  </si>
  <si>
    <t>捆包数</t>
    <phoneticPr fontId="6" type="noConversion"/>
  </si>
  <si>
    <t>手动报工</t>
    <phoneticPr fontId="6" type="noConversion"/>
  </si>
  <si>
    <t>数量</t>
    <phoneticPr fontId="6" type="noConversion"/>
  </si>
  <si>
    <t>-</t>
    <phoneticPr fontId="6" type="noConversion"/>
  </si>
  <si>
    <t>计划获取</t>
    <phoneticPr fontId="6" type="noConversion"/>
  </si>
  <si>
    <t>追加报工用数据取得</t>
    <phoneticPr fontId="6" type="noConversion"/>
  </si>
  <si>
    <t>DB</t>
    <phoneticPr fontId="6" type="noConversion"/>
  </si>
  <si>
    <t>画面</t>
    <phoneticPr fontId="6" type="noConversion"/>
  </si>
  <si>
    <t>报表</t>
    <phoneticPr fontId="6" type="noConversion"/>
  </si>
  <si>
    <t>功能追加</t>
    <phoneticPr fontId="6" type="noConversion"/>
  </si>
  <si>
    <t>计划一览</t>
    <phoneticPr fontId="6" type="noConversion"/>
  </si>
  <si>
    <t>追加显示报工信息和处理按钮</t>
    <phoneticPr fontId="6" type="noConversion"/>
  </si>
  <si>
    <t>报工结果查询</t>
    <phoneticPr fontId="6" type="noConversion"/>
  </si>
  <si>
    <t>新规</t>
    <phoneticPr fontId="6" type="noConversion"/>
  </si>
  <si>
    <t>自动报工</t>
    <phoneticPr fontId="6" type="noConversion"/>
  </si>
  <si>
    <t>后台自动作业</t>
    <phoneticPr fontId="6" type="noConversion"/>
  </si>
  <si>
    <t>显示计划信息及报工状况，点击后系统报工</t>
    <phoneticPr fontId="6" type="noConversion"/>
  </si>
  <si>
    <t>显示计划信息及报工状况</t>
    <phoneticPr fontId="6" type="noConversion"/>
  </si>
  <si>
    <t>报工日志</t>
    <phoneticPr fontId="6" type="noConversion"/>
  </si>
  <si>
    <t>报工记录，及查询</t>
    <phoneticPr fontId="6" type="noConversion"/>
  </si>
  <si>
    <t>功能一览表</t>
    <phoneticPr fontId="6" type="noConversion"/>
  </si>
  <si>
    <t>NO</t>
    <phoneticPr fontId="6" type="noConversion"/>
  </si>
  <si>
    <t>功能</t>
    <phoneticPr fontId="6" type="noConversion"/>
  </si>
  <si>
    <t>区分</t>
    <phoneticPr fontId="6" type="noConversion"/>
  </si>
  <si>
    <t>描述</t>
    <phoneticPr fontId="6" type="noConversion"/>
  </si>
  <si>
    <r>
      <t></t>
    </r>
    <r>
      <rPr>
        <sz val="10"/>
        <color theme="1"/>
        <rFont val="Wingdings 2"/>
        <family val="1"/>
        <charset val="2"/>
      </rPr>
      <t></t>
    </r>
    <phoneticPr fontId="6" type="noConversion"/>
  </si>
  <si>
    <t>报工控制</t>
    <phoneticPr fontId="6" type="noConversion"/>
  </si>
  <si>
    <t>控制是否开启自动报工（月末时使用）</t>
    <phoneticPr fontId="6" type="noConversion"/>
  </si>
  <si>
    <t>对策：系统追加自动报工管理控制，如果开启，即全系统可自动报工，如果不开启，则停止功能</t>
    <phoneticPr fontId="6" type="noConversion"/>
  </si>
  <si>
    <t>对策：自动报工也将工单进行按托盘入数，进行拆分报工</t>
    <phoneticPr fontId="6" type="noConversion"/>
  </si>
  <si>
    <t>检查OK数</t>
    <phoneticPr fontId="6" type="noConversion"/>
  </si>
  <si>
    <t>预计工时</t>
    <phoneticPr fontId="6" type="noConversion"/>
  </si>
  <si>
    <t>make_no</t>
  </si>
  <si>
    <t>make_no</t>
    <phoneticPr fontId="6" type="noConversion"/>
  </si>
  <si>
    <t>cd</t>
  </si>
  <si>
    <t>cd</t>
    <phoneticPr fontId="6" type="noConversion"/>
  </si>
  <si>
    <t>sap_cd</t>
  </si>
  <si>
    <t>sap_cd</t>
    <phoneticPr fontId="6" type="noConversion"/>
  </si>
  <si>
    <t>plan_suu</t>
  </si>
  <si>
    <t>plan_suu</t>
    <phoneticPr fontId="6" type="noConversion"/>
  </si>
  <si>
    <t>kb_nyu_suu</t>
  </si>
  <si>
    <t>kb_nyu_suu</t>
    <phoneticPr fontId="6" type="noConversion"/>
  </si>
  <si>
    <t>kb_suu</t>
  </si>
  <si>
    <t>kb_suu</t>
    <phoneticPr fontId="6" type="noConversion"/>
  </si>
  <si>
    <t>tp_nyu_suu</t>
  </si>
  <si>
    <t>tp_nyu_suu</t>
    <phoneticPr fontId="6" type="noConversion"/>
  </si>
  <si>
    <t>tp_suu</t>
  </si>
  <si>
    <t>tp_suu</t>
    <phoneticPr fontId="6" type="noConversion"/>
  </si>
  <si>
    <t>xiangxian</t>
  </si>
  <si>
    <t>xiangxian</t>
    <phoneticPr fontId="6" type="noConversion"/>
  </si>
  <si>
    <t>kuwei</t>
  </si>
  <si>
    <t>kuwei</t>
    <phoneticPr fontId="6" type="noConversion"/>
  </si>
  <si>
    <t>chk_ok_suu</t>
  </si>
  <si>
    <t>chk_ok_suu</t>
    <phoneticPr fontId="6" type="noConversion"/>
  </si>
  <si>
    <t>result</t>
  </si>
  <si>
    <t>result</t>
    <phoneticPr fontId="6" type="noConversion"/>
  </si>
  <si>
    <t>mark1</t>
  </si>
  <si>
    <t>mark1</t>
    <phoneticPr fontId="6" type="noConversion"/>
  </si>
  <si>
    <t>mark2</t>
  </si>
  <si>
    <t>mark3</t>
  </si>
  <si>
    <t>m_baogong_list</t>
  </si>
  <si>
    <t>m_baogong_list</t>
    <phoneticPr fontId="6" type="noConversion"/>
  </si>
  <si>
    <t>bg_type</t>
  </si>
  <si>
    <t>bg_type</t>
    <phoneticPr fontId="6" type="noConversion"/>
  </si>
  <si>
    <t>bg_user</t>
  </si>
  <si>
    <t>bg_user</t>
    <phoneticPr fontId="6" type="noConversion"/>
  </si>
  <si>
    <t>bg_txt</t>
  </si>
  <si>
    <t>bg_txt</t>
    <phoneticPr fontId="6" type="noConversion"/>
  </si>
  <si>
    <t>bg_result</t>
  </si>
  <si>
    <t>bg_result</t>
    <phoneticPr fontId="6" type="noConversion"/>
  </si>
  <si>
    <t>bg_suu</t>
  </si>
  <si>
    <t>bg_suu</t>
    <phoneticPr fontId="6" type="noConversion"/>
  </si>
  <si>
    <t>bg_bar_data</t>
  </si>
  <si>
    <t>bg_bar_data</t>
    <phoneticPr fontId="6" type="noConversion"/>
  </si>
  <si>
    <t>tp_no</t>
  </si>
  <si>
    <t>tp_no</t>
    <phoneticPr fontId="6" type="noConversion"/>
  </si>
  <si>
    <t>cnt</t>
  </si>
  <si>
    <t>cnt</t>
    <phoneticPr fontId="6" type="noConversion"/>
  </si>
  <si>
    <t>m_baogong_ms</t>
  </si>
  <si>
    <t>m_baogong_ms</t>
    <phoneticPr fontId="6" type="noConversion"/>
  </si>
  <si>
    <t xml:space="preserve">CREATE TABLE </t>
  </si>
  <si>
    <t>orID</t>
  </si>
  <si>
    <t>deleteFlag</t>
  </si>
  <si>
    <t>insertUser</t>
  </si>
  <si>
    <t>insertDate</t>
  </si>
  <si>
    <t>updateUser</t>
  </si>
  <si>
    <t>updateDate</t>
  </si>
  <si>
    <t>NUMERIC</t>
  </si>
  <si>
    <t>NVARCHAR</t>
  </si>
  <si>
    <t>VARCHAR</t>
  </si>
  <si>
    <t>DATETIME</t>
  </si>
  <si>
    <t>(</t>
    <phoneticPr fontId="6" type="noConversion"/>
  </si>
  <si>
    <t>)</t>
    <phoneticPr fontId="6" type="noConversion"/>
  </si>
  <si>
    <t>NOT NULL,</t>
  </si>
  <si>
    <t>) ON [PRIMARY]</t>
  </si>
  <si>
    <t>NULL,</t>
  </si>
  <si>
    <t>PDA报工代码</t>
    <phoneticPr fontId="6" type="noConversion"/>
  </si>
  <si>
    <t>这个的数据格式</t>
  </si>
  <si>
    <t>里面有连接的地址</t>
  </si>
  <si>
    <t>10.160.192.116</t>
  </si>
  <si>
    <t>[图片]</t>
  </si>
  <si>
    <t>连接后，必须先进行用户验证</t>
  </si>
  <si>
    <t>用户名：3999998</t>
  </si>
  <si>
    <t>密码：1</t>
  </si>
  <si>
    <t>流程</t>
  </si>
  <si>
    <t>1、连接服务端</t>
  </si>
  <si>
    <t>2、验证用户</t>
  </si>
  <si>
    <t>3、发送数据处理</t>
  </si>
  <si>
    <t>可以长连接，1和2只作一次</t>
  </si>
  <si>
    <t>如果短连接，每次报完工就关闭连接，那么就再来一遍 1，2，3</t>
  </si>
  <si>
    <t>实绩报工的数据，就是模拟生产明细书</t>
  </si>
  <si>
    <t>//新物料CODE/旧物料CODE/工单数量/捆包数量/库位/向先/托盘序号/工单号</t>
  </si>
  <si>
    <t>如果工单数量100，托盘入数是50，那么这个工单会分成两张生产明细书，每张数量50</t>
  </si>
  <si>
    <t>新物料/旧物料/50/5/库位/向先/1/工单号</t>
  </si>
  <si>
    <t>捆包入数10</t>
  </si>
  <si>
    <t>新物料/旧物料/50/5/库位/向先/2/工单号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</si>
</sst>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u/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ＭＳ Ｐゴシック"/>
      <family val="2"/>
      <charset val="128"/>
    </font>
    <font>
      <b/>
      <sz val="11"/>
      <color indexed="9"/>
      <name val="微软雅黑"/>
      <family val="2"/>
      <charset val="134"/>
    </font>
    <font>
      <sz val="11"/>
      <color indexed="9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6"/>
      <name val="微软雅黑"/>
      <family val="2"/>
      <charset val="134"/>
    </font>
    <font>
      <sz val="10"/>
      <color theme="1"/>
      <name val="Wingdings 2"/>
      <family val="1"/>
      <charset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3" fillId="0" borderId="0" xfId="0" applyFont="1"/>
    <xf numFmtId="0" fontId="9" fillId="0" borderId="0" xfId="0" applyFont="1"/>
    <xf numFmtId="0" fontId="9" fillId="0" borderId="0" xfId="0" applyFont="1" applyBorder="1"/>
    <xf numFmtId="0" fontId="2" fillId="0" borderId="0" xfId="0" applyFont="1"/>
    <xf numFmtId="0" fontId="2" fillId="0" borderId="0" xfId="0" applyFont="1" applyBorder="1"/>
    <xf numFmtId="0" fontId="2" fillId="0" borderId="4" xfId="0" applyFont="1" applyBorder="1"/>
    <xf numFmtId="0" fontId="2" fillId="0" borderId="2" xfId="0" quotePrefix="1" applyFont="1" applyBorder="1"/>
    <xf numFmtId="0" fontId="2" fillId="0" borderId="3" xfId="0" applyFont="1" applyBorder="1"/>
    <xf numFmtId="0" fontId="2" fillId="0" borderId="2" xfId="0" applyFont="1" applyBorder="1"/>
    <xf numFmtId="0" fontId="11" fillId="0" borderId="2" xfId="0" applyFont="1" applyBorder="1"/>
    <xf numFmtId="0" fontId="2" fillId="2" borderId="4" xfId="0" applyFont="1" applyFill="1" applyBorder="1"/>
    <xf numFmtId="0" fontId="9" fillId="5" borderId="2" xfId="0" applyFont="1" applyFill="1" applyBorder="1"/>
    <xf numFmtId="0" fontId="9" fillId="5" borderId="3" xfId="0" applyFont="1" applyFill="1" applyBorder="1"/>
    <xf numFmtId="0" fontId="9" fillId="5" borderId="4" xfId="0" applyFont="1" applyFill="1" applyBorder="1"/>
    <xf numFmtId="0" fontId="2" fillId="5" borderId="4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0" borderId="0" xfId="0" applyFont="1"/>
    <xf numFmtId="0" fontId="2" fillId="3" borderId="2" xfId="0" applyFont="1" applyFill="1" applyBorder="1"/>
    <xf numFmtId="0" fontId="2" fillId="3" borderId="3" xfId="0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2" fillId="6" borderId="4" xfId="0" applyFont="1" applyFill="1" applyBorder="1"/>
    <xf numFmtId="22" fontId="2" fillId="7" borderId="3" xfId="0" applyNumberFormat="1" applyFont="1" applyFill="1" applyBorder="1"/>
    <xf numFmtId="0" fontId="2" fillId="7" borderId="3" xfId="0" applyFont="1" applyFill="1" applyBorder="1"/>
    <xf numFmtId="0" fontId="14" fillId="8" borderId="5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Continuous" vertical="center"/>
    </xf>
    <xf numFmtId="0" fontId="14" fillId="8" borderId="6" xfId="0" applyFont="1" applyFill="1" applyBorder="1" applyAlignment="1">
      <alignment horizontal="centerContinuous" vertical="center"/>
    </xf>
    <xf numFmtId="0" fontId="15" fillId="8" borderId="6" xfId="0" applyFont="1" applyFill="1" applyBorder="1" applyAlignment="1">
      <alignment horizontal="centerContinuous" vertical="center"/>
    </xf>
    <xf numFmtId="0" fontId="14" fillId="8" borderId="6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Continuous" vertical="center"/>
    </xf>
    <xf numFmtId="0" fontId="14" fillId="8" borderId="8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vertical="center"/>
    </xf>
    <xf numFmtId="0" fontId="14" fillId="8" borderId="11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righ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14" xfId="0" applyFont="1" applyFill="1" applyBorder="1" applyAlignment="1">
      <alignment horizontal="left" vertical="center"/>
    </xf>
    <xf numFmtId="49" fontId="16" fillId="0" borderId="15" xfId="0" applyNumberFormat="1" applyFont="1" applyFill="1" applyBorder="1" applyAlignment="1">
      <alignment vertical="center"/>
    </xf>
    <xf numFmtId="0" fontId="16" fillId="0" borderId="16" xfId="0" applyNumberFormat="1" applyFont="1" applyFill="1" applyBorder="1" applyAlignment="1">
      <alignment horizontal="right" vertical="center"/>
    </xf>
    <xf numFmtId="0" fontId="16" fillId="0" borderId="14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left" vertical="center"/>
    </xf>
    <xf numFmtId="0" fontId="16" fillId="0" borderId="17" xfId="0" applyFont="1" applyFill="1" applyBorder="1" applyAlignment="1">
      <alignment horizontal="left" vertical="center"/>
    </xf>
    <xf numFmtId="0" fontId="16" fillId="0" borderId="17" xfId="0" applyFont="1" applyFill="1" applyBorder="1" applyAlignment="1">
      <alignment horizontal="center" vertical="center"/>
    </xf>
    <xf numFmtId="14" fontId="16" fillId="0" borderId="18" xfId="0" applyNumberFormat="1" applyFont="1" applyFill="1" applyBorder="1" applyAlignment="1">
      <alignment horizontal="left" vertical="center"/>
    </xf>
    <xf numFmtId="49" fontId="16" fillId="0" borderId="19" xfId="0" applyNumberFormat="1" applyFont="1" applyBorder="1" applyAlignment="1">
      <alignment vertical="center" wrapText="1"/>
    </xf>
    <xf numFmtId="14" fontId="16" fillId="0" borderId="20" xfId="0" applyNumberFormat="1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17" fillId="0" borderId="0" xfId="0" applyFont="1"/>
    <xf numFmtId="14" fontId="16" fillId="0" borderId="18" xfId="0" applyNumberFormat="1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14" fontId="16" fillId="0" borderId="20" xfId="0" applyNumberFormat="1" applyFont="1" applyFill="1" applyBorder="1" applyAlignment="1">
      <alignment horizontal="left" vertical="center" wrapText="1"/>
    </xf>
    <xf numFmtId="0" fontId="16" fillId="0" borderId="17" xfId="0" applyFont="1" applyFill="1" applyBorder="1" applyAlignment="1">
      <alignment horizontal="left" vertical="center" wrapText="1"/>
    </xf>
    <xf numFmtId="0" fontId="2" fillId="0" borderId="21" xfId="0" applyFont="1" applyBorder="1"/>
    <xf numFmtId="0" fontId="7" fillId="0" borderId="0" xfId="0" applyFont="1" applyBorder="1"/>
    <xf numFmtId="0" fontId="2" fillId="0" borderId="24" xfId="0" applyFont="1" applyBorder="1"/>
    <xf numFmtId="0" fontId="2" fillId="0" borderId="0" xfId="0" applyFont="1" applyBorder="1" applyAlignment="1">
      <alignment horizontal="right"/>
    </xf>
    <xf numFmtId="0" fontId="2" fillId="0" borderId="0" xfId="0" quotePrefix="1" applyFont="1" applyBorder="1"/>
    <xf numFmtId="0" fontId="2" fillId="0" borderId="25" xfId="0" applyFont="1" applyBorder="1"/>
    <xf numFmtId="0" fontId="2" fillId="0" borderId="9" xfId="0" applyFont="1" applyBorder="1"/>
    <xf numFmtId="0" fontId="2" fillId="0" borderId="11" xfId="0" applyFont="1" applyBorder="1"/>
    <xf numFmtId="0" fontId="8" fillId="4" borderId="22" xfId="0" applyFont="1" applyFill="1" applyBorder="1"/>
    <xf numFmtId="0" fontId="8" fillId="4" borderId="23" xfId="0" applyFont="1" applyFill="1" applyBorder="1"/>
    <xf numFmtId="0" fontId="8" fillId="4" borderId="7" xfId="0" applyFont="1" applyFill="1" applyBorder="1"/>
    <xf numFmtId="0" fontId="8" fillId="4" borderId="25" xfId="0" applyFont="1" applyFill="1" applyBorder="1"/>
    <xf numFmtId="0" fontId="8" fillId="4" borderId="9" xfId="0" applyFont="1" applyFill="1" applyBorder="1"/>
    <xf numFmtId="0" fontId="8" fillId="4" borderId="11" xfId="0" applyFont="1" applyFill="1" applyBorder="1"/>
    <xf numFmtId="0" fontId="18" fillId="4" borderId="9" xfId="0" applyFont="1" applyFill="1" applyBorder="1" applyAlignment="1">
      <alignment vertical="top"/>
    </xf>
    <xf numFmtId="0" fontId="2" fillId="9" borderId="2" xfId="0" applyFont="1" applyFill="1" applyBorder="1"/>
    <xf numFmtId="0" fontId="2" fillId="9" borderId="4" xfId="0" applyFont="1" applyFill="1" applyBorder="1"/>
    <xf numFmtId="0" fontId="9" fillId="9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2" xfId="0" applyFont="1" applyBorder="1"/>
    <xf numFmtId="0" fontId="2" fillId="0" borderId="23" xfId="0" applyFont="1" applyBorder="1"/>
    <xf numFmtId="0" fontId="2" fillId="0" borderId="7" xfId="0" applyFont="1" applyBorder="1"/>
    <xf numFmtId="0" fontId="10" fillId="4" borderId="0" xfId="0" applyFont="1" applyFill="1" applyBorder="1"/>
    <xf numFmtId="0" fontId="2" fillId="4" borderId="0" xfId="0" applyFont="1" applyFill="1" applyBorder="1"/>
    <xf numFmtId="0" fontId="12" fillId="0" borderId="0" xfId="0" applyFont="1" applyBorder="1"/>
    <xf numFmtId="0" fontId="2" fillId="0" borderId="0" xfId="0" applyFont="1" applyFill="1" applyBorder="1"/>
    <xf numFmtId="0" fontId="16" fillId="9" borderId="15" xfId="0" applyFont="1" applyFill="1" applyBorder="1" applyAlignment="1">
      <alignment horizontal="left" vertical="center"/>
    </xf>
    <xf numFmtId="0" fontId="16" fillId="9" borderId="17" xfId="0" applyFont="1" applyFill="1" applyBorder="1" applyAlignment="1">
      <alignment horizontal="left" vertical="center"/>
    </xf>
    <xf numFmtId="0" fontId="9" fillId="9" borderId="0" xfId="0" applyFont="1" applyFill="1"/>
    <xf numFmtId="14" fontId="16" fillId="0" borderId="13" xfId="0" applyNumberFormat="1" applyFont="1" applyFill="1" applyBorder="1" applyAlignment="1">
      <alignment vertical="center" wrapText="1"/>
    </xf>
    <xf numFmtId="14" fontId="16" fillId="0" borderId="14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133351</xdr:colOff>
      <xdr:row>19</xdr:row>
      <xdr:rowOff>152400</xdr:rowOff>
    </xdr:from>
    <xdr:to>
      <xdr:col>7</xdr:col>
      <xdr:colOff>133351</xdr:colOff>
      <xdr:row>25</xdr:row>
      <xdr:rowOff>190500</xdr:rowOff>
    </xdr:to>
    <xdr:grpSp>
      <xdr:nvGrpSpPr>
        <xdr:cNvPr id="2" name="Group 9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542926" y="4171950"/>
          <a:ext cx="800100" cy="1295400"/>
          <a:chOff x="-15095" y="-90305"/>
          <a:chExt cx="19182" cy="158"/>
        </a:xfrm>
      </xdr:grpSpPr>
      <xdr:sp macro="" textlink="">
        <xdr:nvSpPr>
          <xdr:cNvPr id="4" name="Arc 997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 bwMode="auto">
          <a:xfrm>
            <a:off x="1585" y="-90305"/>
            <a:ext cx="2502" cy="14"/>
          </a:xfrm>
          <a:custGeom>
            <a:avLst/>
            <a:gdLst>
              <a:gd name="T0" fmla="*/ 0 w 21600"/>
              <a:gd name="T1" fmla="*/ 0 h 21600"/>
              <a:gd name="T2" fmla="*/ 34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5" name="Arc 998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/>
          </xdr:cNvSpPr>
        </xdr:nvSpPr>
        <xdr:spPr bwMode="auto">
          <a:xfrm>
            <a:off x="1585" y="-90297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6" name="Arc 999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/>
          </xdr:cNvSpPr>
        </xdr:nvSpPr>
        <xdr:spPr bwMode="auto">
          <a:xfrm flipH="1">
            <a:off x="-15095" y="-90305"/>
            <a:ext cx="2780" cy="14"/>
          </a:xfrm>
          <a:custGeom>
            <a:avLst/>
            <a:gdLst>
              <a:gd name="T0" fmla="*/ 0 w 21600"/>
              <a:gd name="T1" fmla="*/ 0 h 21600"/>
              <a:gd name="T2" fmla="*/ 4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7" name="Arc 1000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/>
          </xdr:cNvSpPr>
        </xdr:nvSpPr>
        <xdr:spPr bwMode="auto">
          <a:xfrm flipH="1">
            <a:off x="-13705" y="-90297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8" name="Arc 1001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/>
          </xdr:cNvSpPr>
        </xdr:nvSpPr>
        <xdr:spPr bwMode="auto">
          <a:xfrm flipH="1" flipV="1">
            <a:off x="-15095" y="-90161"/>
            <a:ext cx="2780" cy="14"/>
          </a:xfrm>
          <a:custGeom>
            <a:avLst/>
            <a:gdLst>
              <a:gd name="T0" fmla="*/ 0 w 21600"/>
              <a:gd name="T1" fmla="*/ 0 h 21600"/>
              <a:gd name="T2" fmla="*/ 4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9" name="Arc 1002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/>
          </xdr:cNvSpPr>
        </xdr:nvSpPr>
        <xdr:spPr bwMode="auto">
          <a:xfrm flipH="1" flipV="1">
            <a:off x="-13705" y="-90165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0" name="Arc 1003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/>
          </xdr:cNvSpPr>
        </xdr:nvSpPr>
        <xdr:spPr bwMode="auto">
          <a:xfrm flipV="1">
            <a:off x="1585" y="-90161"/>
            <a:ext cx="2502" cy="14"/>
          </a:xfrm>
          <a:custGeom>
            <a:avLst/>
            <a:gdLst>
              <a:gd name="T0" fmla="*/ 0 w 21600"/>
              <a:gd name="T1" fmla="*/ 0 h 21600"/>
              <a:gd name="T2" fmla="*/ 34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1" name="Arc 1004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/>
          </xdr:cNvSpPr>
        </xdr:nvSpPr>
        <xdr:spPr bwMode="auto">
          <a:xfrm flipV="1">
            <a:off x="1585" y="-90165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2" name="Line 1005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-12315" y="-90305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006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-12593" y="-90147"/>
            <a:ext cx="141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007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4087" y="-90291"/>
            <a:ext cx="0" cy="13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008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-15095" y="-90291"/>
            <a:ext cx="0" cy="13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009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-12315" y="-90297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010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-12315" y="-90157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011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-13705" y="-90287"/>
            <a:ext cx="0" cy="1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012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975" y="-90287"/>
            <a:ext cx="0" cy="1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018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81"/>
            <a:ext cx="97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019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71"/>
            <a:ext cx="86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02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63"/>
            <a:ext cx="361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021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45"/>
            <a:ext cx="1195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022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53"/>
            <a:ext cx="83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023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27"/>
            <a:ext cx="889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024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35"/>
            <a:ext cx="44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47625</xdr:colOff>
      <xdr:row>22</xdr:row>
      <xdr:rowOff>19050</xdr:rowOff>
    </xdr:from>
    <xdr:to>
      <xdr:col>14</xdr:col>
      <xdr:colOff>47625</xdr:colOff>
      <xdr:row>23</xdr:row>
      <xdr:rowOff>104775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847850" y="4210050"/>
          <a:ext cx="1000125" cy="2952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检查完了</a:t>
          </a:r>
        </a:p>
      </xdr:txBody>
    </xdr:sp>
    <xdr:clientData/>
  </xdr:twoCellAnchor>
  <xdr:twoCellAnchor>
    <xdr:from>
      <xdr:col>9</xdr:col>
      <xdr:colOff>47625</xdr:colOff>
      <xdr:row>24</xdr:row>
      <xdr:rowOff>180975</xdr:rowOff>
    </xdr:from>
    <xdr:to>
      <xdr:col>14</xdr:col>
      <xdr:colOff>47625</xdr:colOff>
      <xdr:row>26</xdr:row>
      <xdr:rowOff>57150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847850" y="4791075"/>
          <a:ext cx="1000125" cy="2952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检查结果记录</a:t>
          </a:r>
        </a:p>
      </xdr:txBody>
    </xdr:sp>
    <xdr:clientData/>
  </xdr:twoCellAnchor>
  <xdr:twoCellAnchor>
    <xdr:from>
      <xdr:col>15</xdr:col>
      <xdr:colOff>180975</xdr:colOff>
      <xdr:row>28</xdr:row>
      <xdr:rowOff>152400</xdr:rowOff>
    </xdr:from>
    <xdr:to>
      <xdr:col>21</xdr:col>
      <xdr:colOff>114300</xdr:colOff>
      <xdr:row>31</xdr:row>
      <xdr:rowOff>142875</xdr:rowOff>
    </xdr:to>
    <xdr:sp macro="" textlink="">
      <xdr:nvSpPr>
        <xdr:cNvPr id="34" name="流程图: 磁盘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181350" y="5600700"/>
          <a:ext cx="1133475" cy="619125"/>
        </a:xfrm>
        <a:prstGeom prst="flowChartMagneticDisk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DB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147638</xdr:colOff>
      <xdr:row>23</xdr:row>
      <xdr:rowOff>104775</xdr:rowOff>
    </xdr:from>
    <xdr:to>
      <xdr:col>11</xdr:col>
      <xdr:colOff>147638</xdr:colOff>
      <xdr:row>24</xdr:row>
      <xdr:rowOff>180975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stCxn id="32" idx="2"/>
          <a:endCxn id="33" idx="0"/>
        </xdr:cNvCxnSpPr>
      </xdr:nvCxnSpPr>
      <xdr:spPr>
        <a:xfrm>
          <a:off x="2347913" y="4505325"/>
          <a:ext cx="0" cy="28575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25</xdr:row>
      <xdr:rowOff>119063</xdr:rowOff>
    </xdr:from>
    <xdr:to>
      <xdr:col>15</xdr:col>
      <xdr:colOff>180975</xdr:colOff>
      <xdr:row>30</xdr:row>
      <xdr:rowOff>42863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stCxn id="33" idx="3"/>
          <a:endCxn id="34" idx="2"/>
        </xdr:cNvCxnSpPr>
      </xdr:nvCxnSpPr>
      <xdr:spPr>
        <a:xfrm>
          <a:off x="2847975" y="4938713"/>
          <a:ext cx="333375" cy="97155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104775</xdr:colOff>
      <xdr:row>22</xdr:row>
      <xdr:rowOff>19050</xdr:rowOff>
    </xdr:from>
    <xdr:to>
      <xdr:col>29</xdr:col>
      <xdr:colOff>142875</xdr:colOff>
      <xdr:row>23</xdr:row>
      <xdr:rowOff>104775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4705350" y="4210050"/>
          <a:ext cx="1238250" cy="2952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连接报工服务端</a:t>
          </a:r>
        </a:p>
      </xdr:txBody>
    </xdr:sp>
    <xdr:clientData/>
  </xdr:twoCellAnchor>
  <xdr:twoCellAnchor>
    <xdr:from>
      <xdr:col>34</xdr:col>
      <xdr:colOff>0</xdr:colOff>
      <xdr:row>25</xdr:row>
      <xdr:rowOff>200026</xdr:rowOff>
    </xdr:from>
    <xdr:to>
      <xdr:col>37</xdr:col>
      <xdr:colOff>66675</xdr:colOff>
      <xdr:row>30</xdr:row>
      <xdr:rowOff>9526</xdr:rowOff>
    </xdr:to>
    <xdr:grpSp>
      <xdr:nvGrpSpPr>
        <xdr:cNvPr id="42" name="Group 54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>
          <a:grpSpLocks/>
        </xdr:cNvGrpSpPr>
      </xdr:nvGrpSpPr>
      <xdr:grpSpPr bwMode="auto">
        <a:xfrm>
          <a:off x="6610350" y="5476876"/>
          <a:ext cx="666750" cy="857250"/>
          <a:chOff x="-4662" y="-116844"/>
          <a:chExt cx="22240" cy="125"/>
        </a:xfrm>
      </xdr:grpSpPr>
      <xdr:sp macro="" textlink="">
        <xdr:nvSpPr>
          <xdr:cNvPr id="43" name="Rectangle 547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-4662" y="-116844"/>
            <a:ext cx="22240" cy="11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44" name="Rectangle 548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Arrowheads="1"/>
          </xdr:cNvSpPr>
        </xdr:nvSpPr>
        <xdr:spPr bwMode="auto">
          <a:xfrm>
            <a:off x="-3550" y="-116844"/>
            <a:ext cx="20016" cy="125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45" name="Line 549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82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550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90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551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93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552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805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553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838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554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-2160" y="-116840"/>
            <a:ext cx="250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Rectangle 555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13686" y="-116804"/>
            <a:ext cx="1668" cy="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52" name="Rectangle 556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-1326" y="-116802"/>
            <a:ext cx="13900" cy="7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23</xdr:col>
      <xdr:colOff>104775</xdr:colOff>
      <xdr:row>25</xdr:row>
      <xdr:rowOff>47625</xdr:rowOff>
    </xdr:from>
    <xdr:to>
      <xdr:col>29</xdr:col>
      <xdr:colOff>142875</xdr:colOff>
      <xdr:row>26</xdr:row>
      <xdr:rowOff>133350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4705350" y="4867275"/>
          <a:ext cx="1238250" cy="2952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发送报工数据</a:t>
          </a:r>
        </a:p>
      </xdr:txBody>
    </xdr:sp>
    <xdr:clientData/>
  </xdr:twoCellAnchor>
  <xdr:twoCellAnchor>
    <xdr:from>
      <xdr:col>23</xdr:col>
      <xdr:colOff>123825</xdr:colOff>
      <xdr:row>32</xdr:row>
      <xdr:rowOff>19050</xdr:rowOff>
    </xdr:from>
    <xdr:to>
      <xdr:col>29</xdr:col>
      <xdr:colOff>161925</xdr:colOff>
      <xdr:row>33</xdr:row>
      <xdr:rowOff>104775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4724400" y="6305550"/>
          <a:ext cx="1238250" cy="2952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接收报工结果</a:t>
          </a:r>
        </a:p>
      </xdr:txBody>
    </xdr:sp>
    <xdr:clientData/>
  </xdr:twoCellAnchor>
  <xdr:twoCellAnchor>
    <xdr:from>
      <xdr:col>23</xdr:col>
      <xdr:colOff>123825</xdr:colOff>
      <xdr:row>35</xdr:row>
      <xdr:rowOff>47625</xdr:rowOff>
    </xdr:from>
    <xdr:to>
      <xdr:col>29</xdr:col>
      <xdr:colOff>161925</xdr:colOff>
      <xdr:row>36</xdr:row>
      <xdr:rowOff>133350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4724400" y="6962775"/>
          <a:ext cx="1238250" cy="2952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结果记录</a:t>
          </a:r>
        </a:p>
      </xdr:txBody>
    </xdr:sp>
    <xdr:clientData/>
  </xdr:twoCellAnchor>
  <xdr:twoCellAnchor>
    <xdr:from>
      <xdr:col>23</xdr:col>
      <xdr:colOff>123825</xdr:colOff>
      <xdr:row>38</xdr:row>
      <xdr:rowOff>95250</xdr:rowOff>
    </xdr:from>
    <xdr:to>
      <xdr:col>29</xdr:col>
      <xdr:colOff>161925</xdr:colOff>
      <xdr:row>39</xdr:row>
      <xdr:rowOff>180975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4724400" y="7639050"/>
          <a:ext cx="1238250" cy="2952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结果画面反馈</a:t>
          </a:r>
        </a:p>
      </xdr:txBody>
    </xdr:sp>
    <xdr:clientData/>
  </xdr:twoCellAnchor>
  <xdr:twoCellAnchor>
    <xdr:from>
      <xdr:col>14</xdr:col>
      <xdr:colOff>47625</xdr:colOff>
      <xdr:row>22</xdr:row>
      <xdr:rowOff>166688</xdr:rowOff>
    </xdr:from>
    <xdr:to>
      <xdr:col>23</xdr:col>
      <xdr:colOff>104775</xdr:colOff>
      <xdr:row>22</xdr:row>
      <xdr:rowOff>166688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32" idx="3"/>
          <a:endCxn id="41" idx="1"/>
        </xdr:cNvCxnSpPr>
      </xdr:nvCxnSpPr>
      <xdr:spPr>
        <a:xfrm>
          <a:off x="2847975" y="4357688"/>
          <a:ext cx="1857375" cy="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114301</xdr:colOff>
      <xdr:row>30</xdr:row>
      <xdr:rowOff>42863</xdr:rowOff>
    </xdr:from>
    <xdr:to>
      <xdr:col>23</xdr:col>
      <xdr:colOff>123826</xdr:colOff>
      <xdr:row>35</xdr:row>
      <xdr:rowOff>195263</xdr:rowOff>
    </xdr:to>
    <xdr:cxnSp macro="">
      <xdr:nvCxnSpPr>
        <xdr:cNvPr id="61" name="直接箭头连接符 36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stCxn id="55" idx="1"/>
          <a:endCxn id="34" idx="4"/>
        </xdr:cNvCxnSpPr>
      </xdr:nvCxnSpPr>
      <xdr:spPr>
        <a:xfrm rot="10800000">
          <a:off x="4314826" y="5910263"/>
          <a:ext cx="409575" cy="120015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123825</xdr:colOff>
      <xdr:row>23</xdr:row>
      <xdr:rowOff>104775</xdr:rowOff>
    </xdr:from>
    <xdr:to>
      <xdr:col>26</xdr:col>
      <xdr:colOff>123825</xdr:colOff>
      <xdr:row>25</xdr:row>
      <xdr:rowOff>47625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41" idx="2"/>
          <a:endCxn id="53" idx="0"/>
        </xdr:cNvCxnSpPr>
      </xdr:nvCxnSpPr>
      <xdr:spPr>
        <a:xfrm>
          <a:off x="5324475" y="4505325"/>
          <a:ext cx="0" cy="36195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142875</xdr:colOff>
      <xdr:row>30</xdr:row>
      <xdr:rowOff>9527</xdr:rowOff>
    </xdr:from>
    <xdr:to>
      <xdr:col>35</xdr:col>
      <xdr:colOff>133351</xdr:colOff>
      <xdr:row>32</xdr:row>
      <xdr:rowOff>19051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stCxn id="44" idx="2"/>
          <a:endCxn id="54" idx="0"/>
        </xdr:cNvCxnSpPr>
      </xdr:nvCxnSpPr>
      <xdr:spPr>
        <a:xfrm rot="5400000">
          <a:off x="6024564" y="5195888"/>
          <a:ext cx="428624" cy="1790701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123824</xdr:colOff>
      <xdr:row>26</xdr:row>
      <xdr:rowOff>133350</xdr:rowOff>
    </xdr:from>
    <xdr:to>
      <xdr:col>33</xdr:col>
      <xdr:colOff>200024</xdr:colOff>
      <xdr:row>27</xdr:row>
      <xdr:rowOff>178690</xdr:rowOff>
    </xdr:to>
    <xdr:cxnSp macro="">
      <xdr:nvCxnSpPr>
        <xdr:cNvPr id="70" name="直接箭头连接符 6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53" idx="2"/>
          <a:endCxn id="43" idx="1"/>
        </xdr:cNvCxnSpPr>
      </xdr:nvCxnSpPr>
      <xdr:spPr>
        <a:xfrm rot="16200000" flipH="1">
          <a:off x="5935217" y="4551807"/>
          <a:ext cx="254890" cy="1476375"/>
        </a:xfrm>
        <a:prstGeom prst="bentConnector2">
          <a:avLst/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142875</xdr:colOff>
      <xdr:row>33</xdr:row>
      <xdr:rowOff>104775</xdr:rowOff>
    </xdr:from>
    <xdr:to>
      <xdr:col>26</xdr:col>
      <xdr:colOff>142875</xdr:colOff>
      <xdr:row>35</xdr:row>
      <xdr:rowOff>47625</xdr:rowOff>
    </xdr:to>
    <xdr:cxnSp macro="">
      <xdr:nvCxnSpPr>
        <xdr:cNvPr id="73" name="直接箭头连接符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stCxn id="54" idx="2"/>
          <a:endCxn id="55" idx="0"/>
        </xdr:cNvCxnSpPr>
      </xdr:nvCxnSpPr>
      <xdr:spPr>
        <a:xfrm>
          <a:off x="5343525" y="6600825"/>
          <a:ext cx="0" cy="36195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142875</xdr:colOff>
      <xdr:row>36</xdr:row>
      <xdr:rowOff>133350</xdr:rowOff>
    </xdr:from>
    <xdr:to>
      <xdr:col>26</xdr:col>
      <xdr:colOff>142875</xdr:colOff>
      <xdr:row>38</xdr:row>
      <xdr:rowOff>95250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>
          <a:stCxn id="55" idx="2"/>
          <a:endCxn id="56" idx="0"/>
        </xdr:cNvCxnSpPr>
      </xdr:nvCxnSpPr>
      <xdr:spPr>
        <a:xfrm>
          <a:off x="5343525" y="7258050"/>
          <a:ext cx="0" cy="3810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22</xdr:row>
      <xdr:rowOff>161925</xdr:rowOff>
    </xdr:from>
    <xdr:to>
      <xdr:col>9</xdr:col>
      <xdr:colOff>47625</xdr:colOff>
      <xdr:row>22</xdr:row>
      <xdr:rowOff>166688</xdr:rowOff>
    </xdr:to>
    <xdr:cxnSp macro="">
      <xdr:nvCxnSpPr>
        <xdr:cNvPr id="79" name="直接箭头连接符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>
          <a:endCxn id="32" idx="1"/>
        </xdr:cNvCxnSpPr>
      </xdr:nvCxnSpPr>
      <xdr:spPr>
        <a:xfrm>
          <a:off x="1571625" y="4352925"/>
          <a:ext cx="276225" cy="4763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143293</xdr:colOff>
      <xdr:row>26</xdr:row>
      <xdr:rowOff>9526</xdr:rowOff>
    </xdr:from>
    <xdr:to>
      <xdr:col>23</xdr:col>
      <xdr:colOff>123826</xdr:colOff>
      <xdr:row>39</xdr:row>
      <xdr:rowOff>33339</xdr:rowOff>
    </xdr:to>
    <xdr:cxnSp macro="">
      <xdr:nvCxnSpPr>
        <xdr:cNvPr id="85" name="直接箭头连接符 3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>
          <a:stCxn id="56" idx="1"/>
        </xdr:cNvCxnSpPr>
      </xdr:nvCxnSpPr>
      <xdr:spPr>
        <a:xfrm rot="10800000">
          <a:off x="1143418" y="5038726"/>
          <a:ext cx="3580983" cy="2747963"/>
        </a:xfrm>
        <a:prstGeom prst="bentConnector3">
          <a:avLst>
            <a:gd name="adj1" fmla="val 100006"/>
          </a:avLst>
        </a:prstGeom>
        <a:ln>
          <a:solidFill>
            <a:schemeClr val="tx1">
              <a:lumMod val="85000"/>
              <a:lumOff val="15000"/>
            </a:schemeClr>
          </a:solidFill>
          <a:prstDash val="dash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</xdr:colOff>
      <xdr:row>20</xdr:row>
      <xdr:rowOff>142875</xdr:rowOff>
    </xdr:from>
    <xdr:to>
      <xdr:col>33</xdr:col>
      <xdr:colOff>47625</xdr:colOff>
      <xdr:row>40</xdr:row>
      <xdr:rowOff>152400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4019550" y="3324225"/>
          <a:ext cx="2628900" cy="4200525"/>
        </a:xfrm>
        <a:prstGeom prst="rect">
          <a:avLst/>
        </a:prstGeom>
        <a:noFill/>
        <a:ln w="31750" cmpd="sng">
          <a:solidFill>
            <a:srgbClr val="0070C0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oneCellAnchor>
    <xdr:from>
      <xdr:col>20</xdr:col>
      <xdr:colOff>0</xdr:colOff>
      <xdr:row>19</xdr:row>
      <xdr:rowOff>104775</xdr:rowOff>
    </xdr:from>
    <xdr:ext cx="1031051" cy="283411"/>
    <xdr:sp macro="" textlink="">
      <xdr:nvSpPr>
        <xdr:cNvPr id="93" name="文本框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4000500" y="3076575"/>
          <a:ext cx="1031051" cy="2834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1"/>
            <a:t>后台自动作业</a:t>
          </a:r>
        </a:p>
      </xdr:txBody>
    </xdr:sp>
    <xdr:clientData/>
  </xdr:oneCellAnchor>
  <xdr:twoCellAnchor>
    <xdr:from>
      <xdr:col>40</xdr:col>
      <xdr:colOff>161925</xdr:colOff>
      <xdr:row>25</xdr:row>
      <xdr:rowOff>200026</xdr:rowOff>
    </xdr:from>
    <xdr:to>
      <xdr:col>44</xdr:col>
      <xdr:colOff>28575</xdr:colOff>
      <xdr:row>30</xdr:row>
      <xdr:rowOff>9526</xdr:rowOff>
    </xdr:to>
    <xdr:grpSp>
      <xdr:nvGrpSpPr>
        <xdr:cNvPr id="94" name="Group 54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>
          <a:grpSpLocks/>
        </xdr:cNvGrpSpPr>
      </xdr:nvGrpSpPr>
      <xdr:grpSpPr bwMode="auto">
        <a:xfrm>
          <a:off x="7972425" y="5476876"/>
          <a:ext cx="666750" cy="857250"/>
          <a:chOff x="-4662" y="-116844"/>
          <a:chExt cx="22240" cy="125"/>
        </a:xfrm>
      </xdr:grpSpPr>
      <xdr:sp macro="" textlink="">
        <xdr:nvSpPr>
          <xdr:cNvPr id="95" name="Rectangle 547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>
            <a:spLocks noChangeArrowheads="1"/>
          </xdr:cNvSpPr>
        </xdr:nvSpPr>
        <xdr:spPr bwMode="auto">
          <a:xfrm>
            <a:off x="-4662" y="-116844"/>
            <a:ext cx="22240" cy="11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96" name="Rectangle 54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>
            <a:spLocks noChangeArrowheads="1"/>
          </xdr:cNvSpPr>
        </xdr:nvSpPr>
        <xdr:spPr bwMode="auto">
          <a:xfrm>
            <a:off x="-3550" y="-116844"/>
            <a:ext cx="20016" cy="125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97" name="Line 549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82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550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90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551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93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Line 552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805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553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838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554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>
            <a:spLocks noChangeShapeType="1"/>
          </xdr:cNvSpPr>
        </xdr:nvSpPr>
        <xdr:spPr bwMode="auto">
          <a:xfrm>
            <a:off x="-2160" y="-116840"/>
            <a:ext cx="250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Rectangle 555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>
            <a:spLocks noChangeArrowheads="1"/>
          </xdr:cNvSpPr>
        </xdr:nvSpPr>
        <xdr:spPr bwMode="auto">
          <a:xfrm>
            <a:off x="13686" y="-116804"/>
            <a:ext cx="1668" cy="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04" name="Rectangle 556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>
            <a:spLocks noChangeArrowheads="1"/>
          </xdr:cNvSpPr>
        </xdr:nvSpPr>
        <xdr:spPr bwMode="auto">
          <a:xfrm>
            <a:off x="-1326" y="-116802"/>
            <a:ext cx="13900" cy="7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41</xdr:col>
      <xdr:colOff>57150</xdr:colOff>
      <xdr:row>24</xdr:row>
      <xdr:rowOff>114300</xdr:rowOff>
    </xdr:from>
    <xdr:ext cx="411908" cy="264560"/>
    <xdr:sp macro="" textlink="">
      <xdr:nvSpPr>
        <xdr:cNvPr id="105" name="文本框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8258175" y="4133850"/>
          <a:ext cx="4119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1"/>
            <a:t>SAP</a:t>
          </a:r>
          <a:endParaRPr lang="zh-CN" altLang="en-US" sz="1100" b="1"/>
        </a:p>
      </xdr:txBody>
    </xdr:sp>
    <xdr:clientData/>
  </xdr:oneCellAnchor>
  <xdr:twoCellAnchor>
    <xdr:from>
      <xdr:col>37</xdr:col>
      <xdr:colOff>104775</xdr:colOff>
      <xdr:row>27</xdr:row>
      <xdr:rowOff>19050</xdr:rowOff>
    </xdr:from>
    <xdr:to>
      <xdr:col>40</xdr:col>
      <xdr:colOff>114300</xdr:colOff>
      <xdr:row>27</xdr:row>
      <xdr:rowOff>19050</xdr:rowOff>
    </xdr:to>
    <xdr:cxnSp macro="">
      <xdr:nvCxnSpPr>
        <xdr:cNvPr id="108" name="直接箭头连接符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>
          <a:off x="7505700" y="4667250"/>
          <a:ext cx="609600" cy="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95250</xdr:colOff>
      <xdr:row>27</xdr:row>
      <xdr:rowOff>207265</xdr:rowOff>
    </xdr:from>
    <xdr:to>
      <xdr:col>40</xdr:col>
      <xdr:colOff>76200</xdr:colOff>
      <xdr:row>28</xdr:row>
      <xdr:rowOff>0</xdr:rowOff>
    </xdr:to>
    <xdr:cxnSp macro="">
      <xdr:nvCxnSpPr>
        <xdr:cNvPr id="110" name="直接箭头连接符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 flipH="1" flipV="1">
          <a:off x="7496175" y="4855465"/>
          <a:ext cx="581025" cy="228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180975</xdr:colOff>
      <xdr:row>25</xdr:row>
      <xdr:rowOff>200025</xdr:rowOff>
    </xdr:from>
    <xdr:ext cx="441146" cy="312330"/>
    <xdr:sp macro="" textlink="">
      <xdr:nvSpPr>
        <xdr:cNvPr id="114" name="文本框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7581900" y="4429125"/>
          <a:ext cx="441146" cy="3123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000" b="0">
              <a:latin typeface="微软雅黑" panose="020B0503020204020204" pitchFamily="34" charset="-122"/>
              <a:ea typeface="微软雅黑" panose="020B0503020204020204" pitchFamily="34" charset="-122"/>
            </a:rPr>
            <a:t>报工</a:t>
          </a:r>
        </a:p>
      </xdr:txBody>
    </xdr:sp>
    <xdr:clientData/>
  </xdr:oneCellAnchor>
  <xdr:oneCellAnchor>
    <xdr:from>
      <xdr:col>38</xdr:col>
      <xdr:colOff>0</xdr:colOff>
      <xdr:row>27</xdr:row>
      <xdr:rowOff>152400</xdr:rowOff>
    </xdr:from>
    <xdr:ext cx="441146" cy="312330"/>
    <xdr:sp macro="" textlink="">
      <xdr:nvSpPr>
        <xdr:cNvPr id="115" name="文本框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7600950" y="4800600"/>
          <a:ext cx="441146" cy="3123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000" b="0">
              <a:latin typeface="微软雅黑" panose="020B0503020204020204" pitchFamily="34" charset="-122"/>
              <a:ea typeface="微软雅黑" panose="020B0503020204020204" pitchFamily="34" charset="-122"/>
            </a:rPr>
            <a:t>结果</a:t>
          </a:r>
        </a:p>
      </xdr:txBody>
    </xdr:sp>
    <xdr:clientData/>
  </xdr:oneCellAnchor>
  <xdr:oneCellAnchor>
    <xdr:from>
      <xdr:col>29</xdr:col>
      <xdr:colOff>171450</xdr:colOff>
      <xdr:row>26</xdr:row>
      <xdr:rowOff>133350</xdr:rowOff>
    </xdr:from>
    <xdr:ext cx="441146" cy="312330"/>
    <xdr:sp macro="" textlink="">
      <xdr:nvSpPr>
        <xdr:cNvPr id="116" name="文本框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5972175" y="4572000"/>
          <a:ext cx="441146" cy="3123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000" b="0">
              <a:latin typeface="微软雅黑" panose="020B0503020204020204" pitchFamily="34" charset="-122"/>
              <a:ea typeface="微软雅黑" panose="020B0503020204020204" pitchFamily="34" charset="-122"/>
            </a:rPr>
            <a:t>报工</a:t>
          </a:r>
        </a:p>
      </xdr:txBody>
    </xdr:sp>
    <xdr:clientData/>
  </xdr:oneCellAnchor>
  <xdr:oneCellAnchor>
    <xdr:from>
      <xdr:col>29</xdr:col>
      <xdr:colOff>104775</xdr:colOff>
      <xdr:row>29</xdr:row>
      <xdr:rowOff>200025</xdr:rowOff>
    </xdr:from>
    <xdr:ext cx="441146" cy="312330"/>
    <xdr:sp macro="" textlink="">
      <xdr:nvSpPr>
        <xdr:cNvPr id="117" name="文本框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5905500" y="5267325"/>
          <a:ext cx="441146" cy="3123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000" b="0">
              <a:latin typeface="微软雅黑" panose="020B0503020204020204" pitchFamily="34" charset="-122"/>
              <a:ea typeface="微软雅黑" panose="020B0503020204020204" pitchFamily="34" charset="-122"/>
            </a:rPr>
            <a:t>结果</a:t>
          </a:r>
        </a:p>
      </xdr:txBody>
    </xdr:sp>
    <xdr:clientData/>
  </xdr:oneCellAnchor>
  <xdr:twoCellAnchor>
    <xdr:from>
      <xdr:col>8</xdr:col>
      <xdr:colOff>171451</xdr:colOff>
      <xdr:row>44</xdr:row>
      <xdr:rowOff>123825</xdr:rowOff>
    </xdr:from>
    <xdr:to>
      <xdr:col>10</xdr:col>
      <xdr:colOff>66675</xdr:colOff>
      <xdr:row>46</xdr:row>
      <xdr:rowOff>114300</xdr:rowOff>
    </xdr:to>
    <xdr:grpSp>
      <xdr:nvGrpSpPr>
        <xdr:cNvPr id="118" name="Group 99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GrpSpPr>
          <a:grpSpLocks/>
        </xdr:cNvGrpSpPr>
      </xdr:nvGrpSpPr>
      <xdr:grpSpPr bwMode="auto">
        <a:xfrm>
          <a:off x="1581151" y="9382125"/>
          <a:ext cx="295274" cy="409575"/>
          <a:chOff x="-15095" y="-90305"/>
          <a:chExt cx="19182" cy="158"/>
        </a:xfrm>
      </xdr:grpSpPr>
      <xdr:sp macro="" textlink="">
        <xdr:nvSpPr>
          <xdr:cNvPr id="119" name="Arc 997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>
            <a:spLocks/>
          </xdr:cNvSpPr>
        </xdr:nvSpPr>
        <xdr:spPr bwMode="auto">
          <a:xfrm>
            <a:off x="1585" y="-90305"/>
            <a:ext cx="2502" cy="14"/>
          </a:xfrm>
          <a:custGeom>
            <a:avLst/>
            <a:gdLst>
              <a:gd name="T0" fmla="*/ 0 w 21600"/>
              <a:gd name="T1" fmla="*/ 0 h 21600"/>
              <a:gd name="T2" fmla="*/ 34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20" name="Arc 998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>
            <a:spLocks/>
          </xdr:cNvSpPr>
        </xdr:nvSpPr>
        <xdr:spPr bwMode="auto">
          <a:xfrm>
            <a:off x="1585" y="-90297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21" name="Arc 999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>
            <a:spLocks/>
          </xdr:cNvSpPr>
        </xdr:nvSpPr>
        <xdr:spPr bwMode="auto">
          <a:xfrm flipH="1">
            <a:off x="-15095" y="-90305"/>
            <a:ext cx="2780" cy="14"/>
          </a:xfrm>
          <a:custGeom>
            <a:avLst/>
            <a:gdLst>
              <a:gd name="T0" fmla="*/ 0 w 21600"/>
              <a:gd name="T1" fmla="*/ 0 h 21600"/>
              <a:gd name="T2" fmla="*/ 4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22" name="Arc 1000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>
            <a:spLocks/>
          </xdr:cNvSpPr>
        </xdr:nvSpPr>
        <xdr:spPr bwMode="auto">
          <a:xfrm flipH="1">
            <a:off x="-13705" y="-90297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23" name="Arc 1001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>
            <a:spLocks/>
          </xdr:cNvSpPr>
        </xdr:nvSpPr>
        <xdr:spPr bwMode="auto">
          <a:xfrm flipH="1" flipV="1">
            <a:off x="-15095" y="-90161"/>
            <a:ext cx="2780" cy="14"/>
          </a:xfrm>
          <a:custGeom>
            <a:avLst/>
            <a:gdLst>
              <a:gd name="T0" fmla="*/ 0 w 21600"/>
              <a:gd name="T1" fmla="*/ 0 h 21600"/>
              <a:gd name="T2" fmla="*/ 4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24" name="Arc 1002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>
            <a:spLocks/>
          </xdr:cNvSpPr>
        </xdr:nvSpPr>
        <xdr:spPr bwMode="auto">
          <a:xfrm flipH="1" flipV="1">
            <a:off x="-13705" y="-90165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25" name="Arc 1003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>
            <a:spLocks/>
          </xdr:cNvSpPr>
        </xdr:nvSpPr>
        <xdr:spPr bwMode="auto">
          <a:xfrm flipV="1">
            <a:off x="1585" y="-90161"/>
            <a:ext cx="2502" cy="14"/>
          </a:xfrm>
          <a:custGeom>
            <a:avLst/>
            <a:gdLst>
              <a:gd name="T0" fmla="*/ 0 w 21600"/>
              <a:gd name="T1" fmla="*/ 0 h 21600"/>
              <a:gd name="T2" fmla="*/ 34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26" name="Arc 1004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>
            <a:spLocks/>
          </xdr:cNvSpPr>
        </xdr:nvSpPr>
        <xdr:spPr bwMode="auto">
          <a:xfrm flipV="1">
            <a:off x="1585" y="-90165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27" name="Line 1005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-12315" y="-90305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Line 1006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-12593" y="-90147"/>
            <a:ext cx="141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Line 1007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>
            <a:spLocks noChangeShapeType="1"/>
          </xdr:cNvSpPr>
        </xdr:nvSpPr>
        <xdr:spPr bwMode="auto">
          <a:xfrm>
            <a:off x="4087" y="-90291"/>
            <a:ext cx="0" cy="13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Line 1008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>
            <a:spLocks noChangeShapeType="1"/>
          </xdr:cNvSpPr>
        </xdr:nvSpPr>
        <xdr:spPr bwMode="auto">
          <a:xfrm>
            <a:off x="-15095" y="-90291"/>
            <a:ext cx="0" cy="13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1009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-12315" y="-90297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Line 1010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>
            <a:spLocks noChangeShapeType="1"/>
          </xdr:cNvSpPr>
        </xdr:nvSpPr>
        <xdr:spPr bwMode="auto">
          <a:xfrm>
            <a:off x="-12315" y="-90157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Line 1011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>
            <a:spLocks noChangeShapeType="1"/>
          </xdr:cNvSpPr>
        </xdr:nvSpPr>
        <xdr:spPr bwMode="auto">
          <a:xfrm>
            <a:off x="-13705" y="-90287"/>
            <a:ext cx="0" cy="1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Line 1012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SpPr>
            <a:spLocks noChangeShapeType="1"/>
          </xdr:cNvSpPr>
        </xdr:nvSpPr>
        <xdr:spPr bwMode="auto">
          <a:xfrm>
            <a:off x="2975" y="-90287"/>
            <a:ext cx="0" cy="1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" name="Line 1018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81"/>
            <a:ext cx="97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Line 1019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71"/>
            <a:ext cx="86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1020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63"/>
            <a:ext cx="361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1021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45"/>
            <a:ext cx="1195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Line 1022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53"/>
            <a:ext cx="83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Line 1023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27"/>
            <a:ext cx="889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1" name="Line 1024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35"/>
            <a:ext cx="44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171451</xdr:colOff>
      <xdr:row>47</xdr:row>
      <xdr:rowOff>76200</xdr:rowOff>
    </xdr:from>
    <xdr:to>
      <xdr:col>10</xdr:col>
      <xdr:colOff>66675</xdr:colOff>
      <xdr:row>49</xdr:row>
      <xdr:rowOff>66675</xdr:rowOff>
    </xdr:to>
    <xdr:grpSp>
      <xdr:nvGrpSpPr>
        <xdr:cNvPr id="166" name="Group 99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GrpSpPr>
          <a:grpSpLocks/>
        </xdr:cNvGrpSpPr>
      </xdr:nvGrpSpPr>
      <xdr:grpSpPr bwMode="auto">
        <a:xfrm>
          <a:off x="1581151" y="9963150"/>
          <a:ext cx="295274" cy="409575"/>
          <a:chOff x="-15095" y="-90305"/>
          <a:chExt cx="19182" cy="158"/>
        </a:xfrm>
      </xdr:grpSpPr>
      <xdr:sp macro="" textlink="">
        <xdr:nvSpPr>
          <xdr:cNvPr id="167" name="Arc 997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>
            <a:spLocks/>
          </xdr:cNvSpPr>
        </xdr:nvSpPr>
        <xdr:spPr bwMode="auto">
          <a:xfrm>
            <a:off x="1585" y="-90305"/>
            <a:ext cx="2502" cy="14"/>
          </a:xfrm>
          <a:custGeom>
            <a:avLst/>
            <a:gdLst>
              <a:gd name="T0" fmla="*/ 0 w 21600"/>
              <a:gd name="T1" fmla="*/ 0 h 21600"/>
              <a:gd name="T2" fmla="*/ 34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68" name="Arc 998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>
            <a:spLocks/>
          </xdr:cNvSpPr>
        </xdr:nvSpPr>
        <xdr:spPr bwMode="auto">
          <a:xfrm>
            <a:off x="1585" y="-90297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69" name="Arc 999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>
            <a:spLocks/>
          </xdr:cNvSpPr>
        </xdr:nvSpPr>
        <xdr:spPr bwMode="auto">
          <a:xfrm flipH="1">
            <a:off x="-15095" y="-90305"/>
            <a:ext cx="2780" cy="14"/>
          </a:xfrm>
          <a:custGeom>
            <a:avLst/>
            <a:gdLst>
              <a:gd name="T0" fmla="*/ 0 w 21600"/>
              <a:gd name="T1" fmla="*/ 0 h 21600"/>
              <a:gd name="T2" fmla="*/ 4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70" name="Arc 1000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>
            <a:spLocks/>
          </xdr:cNvSpPr>
        </xdr:nvSpPr>
        <xdr:spPr bwMode="auto">
          <a:xfrm flipH="1">
            <a:off x="-13705" y="-90297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71" name="Arc 1001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SpPr>
            <a:spLocks/>
          </xdr:cNvSpPr>
        </xdr:nvSpPr>
        <xdr:spPr bwMode="auto">
          <a:xfrm flipH="1" flipV="1">
            <a:off x="-15095" y="-90161"/>
            <a:ext cx="2780" cy="14"/>
          </a:xfrm>
          <a:custGeom>
            <a:avLst/>
            <a:gdLst>
              <a:gd name="T0" fmla="*/ 0 w 21600"/>
              <a:gd name="T1" fmla="*/ 0 h 21600"/>
              <a:gd name="T2" fmla="*/ 4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72" name="Arc 1002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SpPr>
            <a:spLocks/>
          </xdr:cNvSpPr>
        </xdr:nvSpPr>
        <xdr:spPr bwMode="auto">
          <a:xfrm flipH="1" flipV="1">
            <a:off x="-13705" y="-90165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73" name="Arc 1003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SpPr>
            <a:spLocks/>
          </xdr:cNvSpPr>
        </xdr:nvSpPr>
        <xdr:spPr bwMode="auto">
          <a:xfrm flipV="1">
            <a:off x="1585" y="-90161"/>
            <a:ext cx="2502" cy="14"/>
          </a:xfrm>
          <a:custGeom>
            <a:avLst/>
            <a:gdLst>
              <a:gd name="T0" fmla="*/ 0 w 21600"/>
              <a:gd name="T1" fmla="*/ 0 h 21600"/>
              <a:gd name="T2" fmla="*/ 34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74" name="Arc 1004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>
            <a:spLocks/>
          </xdr:cNvSpPr>
        </xdr:nvSpPr>
        <xdr:spPr bwMode="auto">
          <a:xfrm flipV="1">
            <a:off x="1585" y="-90165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75" name="Line 1005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SpPr>
            <a:spLocks noChangeShapeType="1"/>
          </xdr:cNvSpPr>
        </xdr:nvSpPr>
        <xdr:spPr bwMode="auto">
          <a:xfrm>
            <a:off x="-12315" y="-90305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6" name="Line 1006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-12593" y="-90147"/>
            <a:ext cx="141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7" name="Line 1007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SpPr>
            <a:spLocks noChangeShapeType="1"/>
          </xdr:cNvSpPr>
        </xdr:nvSpPr>
        <xdr:spPr bwMode="auto">
          <a:xfrm>
            <a:off x="4087" y="-90291"/>
            <a:ext cx="0" cy="13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8" name="Line 1008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>
            <a:spLocks noChangeShapeType="1"/>
          </xdr:cNvSpPr>
        </xdr:nvSpPr>
        <xdr:spPr bwMode="auto">
          <a:xfrm>
            <a:off x="-15095" y="-90291"/>
            <a:ext cx="0" cy="13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9" name="Line 1009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-12315" y="-90297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" name="Line 1010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>
            <a:spLocks noChangeShapeType="1"/>
          </xdr:cNvSpPr>
        </xdr:nvSpPr>
        <xdr:spPr bwMode="auto">
          <a:xfrm>
            <a:off x="-12315" y="-90157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1" name="Line 1011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SpPr>
            <a:spLocks noChangeShapeType="1"/>
          </xdr:cNvSpPr>
        </xdr:nvSpPr>
        <xdr:spPr bwMode="auto">
          <a:xfrm>
            <a:off x="-13705" y="-90287"/>
            <a:ext cx="0" cy="1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2" name="Line 1012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SpPr>
            <a:spLocks noChangeShapeType="1"/>
          </xdr:cNvSpPr>
        </xdr:nvSpPr>
        <xdr:spPr bwMode="auto">
          <a:xfrm>
            <a:off x="2975" y="-90287"/>
            <a:ext cx="0" cy="1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3" name="Line 1018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81"/>
            <a:ext cx="97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4" name="Line 1019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71"/>
            <a:ext cx="86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5" name="Line 1020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63"/>
            <a:ext cx="361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6" name="Line 1021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45"/>
            <a:ext cx="1195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1022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53"/>
            <a:ext cx="83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1023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27"/>
            <a:ext cx="889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" name="Line 1024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35"/>
            <a:ext cx="44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161926</xdr:colOff>
      <xdr:row>51</xdr:row>
      <xdr:rowOff>142875</xdr:rowOff>
    </xdr:from>
    <xdr:to>
      <xdr:col>10</xdr:col>
      <xdr:colOff>57150</xdr:colOff>
      <xdr:row>53</xdr:row>
      <xdr:rowOff>133350</xdr:rowOff>
    </xdr:to>
    <xdr:grpSp>
      <xdr:nvGrpSpPr>
        <xdr:cNvPr id="190" name="Group 995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GrpSpPr>
          <a:grpSpLocks/>
        </xdr:cNvGrpSpPr>
      </xdr:nvGrpSpPr>
      <xdr:grpSpPr bwMode="auto">
        <a:xfrm>
          <a:off x="1571626" y="10868025"/>
          <a:ext cx="295274" cy="409575"/>
          <a:chOff x="-15095" y="-90305"/>
          <a:chExt cx="19182" cy="158"/>
        </a:xfrm>
      </xdr:grpSpPr>
      <xdr:sp macro="" textlink="">
        <xdr:nvSpPr>
          <xdr:cNvPr id="191" name="Arc 997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SpPr>
            <a:spLocks/>
          </xdr:cNvSpPr>
        </xdr:nvSpPr>
        <xdr:spPr bwMode="auto">
          <a:xfrm>
            <a:off x="1585" y="-90305"/>
            <a:ext cx="2502" cy="14"/>
          </a:xfrm>
          <a:custGeom>
            <a:avLst/>
            <a:gdLst>
              <a:gd name="T0" fmla="*/ 0 w 21600"/>
              <a:gd name="T1" fmla="*/ 0 h 21600"/>
              <a:gd name="T2" fmla="*/ 34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92" name="Arc 998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SpPr>
            <a:spLocks/>
          </xdr:cNvSpPr>
        </xdr:nvSpPr>
        <xdr:spPr bwMode="auto">
          <a:xfrm>
            <a:off x="1585" y="-90297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93" name="Arc 999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>
            <a:spLocks/>
          </xdr:cNvSpPr>
        </xdr:nvSpPr>
        <xdr:spPr bwMode="auto">
          <a:xfrm flipH="1">
            <a:off x="-15095" y="-90305"/>
            <a:ext cx="2780" cy="14"/>
          </a:xfrm>
          <a:custGeom>
            <a:avLst/>
            <a:gdLst>
              <a:gd name="T0" fmla="*/ 0 w 21600"/>
              <a:gd name="T1" fmla="*/ 0 h 21600"/>
              <a:gd name="T2" fmla="*/ 4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94" name="Arc 1000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>
            <a:spLocks/>
          </xdr:cNvSpPr>
        </xdr:nvSpPr>
        <xdr:spPr bwMode="auto">
          <a:xfrm flipH="1">
            <a:off x="-13705" y="-90297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95" name="Arc 1001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>
            <a:spLocks/>
          </xdr:cNvSpPr>
        </xdr:nvSpPr>
        <xdr:spPr bwMode="auto">
          <a:xfrm flipH="1" flipV="1">
            <a:off x="-15095" y="-90161"/>
            <a:ext cx="2780" cy="14"/>
          </a:xfrm>
          <a:custGeom>
            <a:avLst/>
            <a:gdLst>
              <a:gd name="T0" fmla="*/ 0 w 21600"/>
              <a:gd name="T1" fmla="*/ 0 h 21600"/>
              <a:gd name="T2" fmla="*/ 4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96" name="Arc 1002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>
            <a:spLocks/>
          </xdr:cNvSpPr>
        </xdr:nvSpPr>
        <xdr:spPr bwMode="auto">
          <a:xfrm flipH="1" flipV="1">
            <a:off x="-13705" y="-90165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97" name="Arc 1003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>
            <a:spLocks/>
          </xdr:cNvSpPr>
        </xdr:nvSpPr>
        <xdr:spPr bwMode="auto">
          <a:xfrm flipV="1">
            <a:off x="1585" y="-90161"/>
            <a:ext cx="2502" cy="14"/>
          </a:xfrm>
          <a:custGeom>
            <a:avLst/>
            <a:gdLst>
              <a:gd name="T0" fmla="*/ 0 w 21600"/>
              <a:gd name="T1" fmla="*/ 0 h 21600"/>
              <a:gd name="T2" fmla="*/ 34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98" name="Arc 1004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SpPr>
            <a:spLocks/>
          </xdr:cNvSpPr>
        </xdr:nvSpPr>
        <xdr:spPr bwMode="auto">
          <a:xfrm flipV="1">
            <a:off x="1585" y="-90165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99" name="Line 1005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>
            <a:spLocks noChangeShapeType="1"/>
          </xdr:cNvSpPr>
        </xdr:nvSpPr>
        <xdr:spPr bwMode="auto">
          <a:xfrm>
            <a:off x="-12315" y="-90305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Line 1006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-12593" y="-90147"/>
            <a:ext cx="141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1" name="Line 1007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SpPr>
            <a:spLocks noChangeShapeType="1"/>
          </xdr:cNvSpPr>
        </xdr:nvSpPr>
        <xdr:spPr bwMode="auto">
          <a:xfrm>
            <a:off x="4087" y="-90291"/>
            <a:ext cx="0" cy="13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2" name="Line 1008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>
            <a:spLocks noChangeShapeType="1"/>
          </xdr:cNvSpPr>
        </xdr:nvSpPr>
        <xdr:spPr bwMode="auto">
          <a:xfrm>
            <a:off x="-15095" y="-90291"/>
            <a:ext cx="0" cy="13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" name="Line 1009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-12315" y="-90297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1010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>
            <a:spLocks noChangeShapeType="1"/>
          </xdr:cNvSpPr>
        </xdr:nvSpPr>
        <xdr:spPr bwMode="auto">
          <a:xfrm>
            <a:off x="-12315" y="-90157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1011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>
            <a:spLocks noChangeShapeType="1"/>
          </xdr:cNvSpPr>
        </xdr:nvSpPr>
        <xdr:spPr bwMode="auto">
          <a:xfrm>
            <a:off x="-13705" y="-90287"/>
            <a:ext cx="0" cy="1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" name="Line 1012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>
            <a:spLocks noChangeShapeType="1"/>
          </xdr:cNvSpPr>
        </xdr:nvSpPr>
        <xdr:spPr bwMode="auto">
          <a:xfrm>
            <a:off x="2975" y="-90287"/>
            <a:ext cx="0" cy="1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Line 1018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81"/>
            <a:ext cx="97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" name="Line 1019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71"/>
            <a:ext cx="86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" name="Line 1020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63"/>
            <a:ext cx="361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" name="Line 1021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45"/>
            <a:ext cx="1195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" name="Line 1022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53"/>
            <a:ext cx="83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" name="Line 1023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27"/>
            <a:ext cx="889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" name="Line 1024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35"/>
            <a:ext cx="44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38099</xdr:colOff>
      <xdr:row>48</xdr:row>
      <xdr:rowOff>1</xdr:rowOff>
    </xdr:from>
    <xdr:to>
      <xdr:col>19</xdr:col>
      <xdr:colOff>133349</xdr:colOff>
      <xdr:row>52</xdr:row>
      <xdr:rowOff>9525</xdr:rowOff>
    </xdr:to>
    <xdr:grpSp>
      <xdr:nvGrpSpPr>
        <xdr:cNvPr id="214" name="Group 546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GrpSpPr>
          <a:grpSpLocks/>
        </xdr:cNvGrpSpPr>
      </xdr:nvGrpSpPr>
      <xdr:grpSpPr bwMode="auto">
        <a:xfrm>
          <a:off x="3047999" y="10096501"/>
          <a:ext cx="695325" cy="847724"/>
          <a:chOff x="-4662" y="-116844"/>
          <a:chExt cx="22240" cy="125"/>
        </a:xfrm>
      </xdr:grpSpPr>
      <xdr:sp macro="" textlink="">
        <xdr:nvSpPr>
          <xdr:cNvPr id="215" name="Rectangle 547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SpPr>
            <a:spLocks noChangeArrowheads="1"/>
          </xdr:cNvSpPr>
        </xdr:nvSpPr>
        <xdr:spPr bwMode="auto">
          <a:xfrm>
            <a:off x="-4662" y="-116844"/>
            <a:ext cx="22240" cy="11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16" name="Rectangle 548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>
            <a:spLocks noChangeArrowheads="1"/>
          </xdr:cNvSpPr>
        </xdr:nvSpPr>
        <xdr:spPr bwMode="auto">
          <a:xfrm>
            <a:off x="-3550" y="-116844"/>
            <a:ext cx="20016" cy="125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17" name="Line 549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82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" name="Line 550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90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9" name="Line 551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93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552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805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553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838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" name="Line 554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>
            <a:spLocks noChangeShapeType="1"/>
          </xdr:cNvSpPr>
        </xdr:nvSpPr>
        <xdr:spPr bwMode="auto">
          <a:xfrm>
            <a:off x="-2160" y="-116840"/>
            <a:ext cx="250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" name="Rectangle 555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>
            <a:spLocks noChangeArrowheads="1"/>
          </xdr:cNvSpPr>
        </xdr:nvSpPr>
        <xdr:spPr bwMode="auto">
          <a:xfrm>
            <a:off x="13686" y="-116804"/>
            <a:ext cx="1668" cy="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24" name="Rectangle 556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SpPr>
            <a:spLocks noChangeArrowheads="1"/>
          </xdr:cNvSpPr>
        </xdr:nvSpPr>
        <xdr:spPr bwMode="auto">
          <a:xfrm>
            <a:off x="-1326" y="-116802"/>
            <a:ext cx="13900" cy="7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24</xdr:col>
      <xdr:colOff>9525</xdr:colOff>
      <xdr:row>47</xdr:row>
      <xdr:rowOff>152400</xdr:rowOff>
    </xdr:from>
    <xdr:to>
      <xdr:col>27</xdr:col>
      <xdr:colOff>66675</xdr:colOff>
      <xdr:row>52</xdr:row>
      <xdr:rowOff>66675</xdr:rowOff>
    </xdr:to>
    <xdr:grpSp>
      <xdr:nvGrpSpPr>
        <xdr:cNvPr id="225" name="Group 546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GrpSpPr>
          <a:grpSpLocks/>
        </xdr:cNvGrpSpPr>
      </xdr:nvGrpSpPr>
      <xdr:grpSpPr bwMode="auto">
        <a:xfrm>
          <a:off x="4619625" y="10039350"/>
          <a:ext cx="657225" cy="962025"/>
          <a:chOff x="-4662" y="-116844"/>
          <a:chExt cx="22240" cy="125"/>
        </a:xfrm>
      </xdr:grpSpPr>
      <xdr:sp macro="" textlink="">
        <xdr:nvSpPr>
          <xdr:cNvPr id="226" name="Rectangle 547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>
            <a:spLocks noChangeArrowheads="1"/>
          </xdr:cNvSpPr>
        </xdr:nvSpPr>
        <xdr:spPr bwMode="auto">
          <a:xfrm>
            <a:off x="-4662" y="-116844"/>
            <a:ext cx="22240" cy="11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27" name="Rectangle 548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SpPr>
            <a:spLocks noChangeArrowheads="1"/>
          </xdr:cNvSpPr>
        </xdr:nvSpPr>
        <xdr:spPr bwMode="auto">
          <a:xfrm>
            <a:off x="-3550" y="-116844"/>
            <a:ext cx="20016" cy="125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28" name="Line 549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82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9" name="Line 550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90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" name="Line 551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793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1" name="Line 552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805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" name="Line 553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>
            <a:spLocks noChangeShapeType="1"/>
          </xdr:cNvSpPr>
        </xdr:nvSpPr>
        <xdr:spPr bwMode="auto">
          <a:xfrm>
            <a:off x="-3550" y="-116838"/>
            <a:ext cx="200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" name="Line 554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>
            <a:spLocks noChangeShapeType="1"/>
          </xdr:cNvSpPr>
        </xdr:nvSpPr>
        <xdr:spPr bwMode="auto">
          <a:xfrm>
            <a:off x="-2160" y="-116840"/>
            <a:ext cx="250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4" name="Rectangle 555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SpPr>
            <a:spLocks noChangeArrowheads="1"/>
          </xdr:cNvSpPr>
        </xdr:nvSpPr>
        <xdr:spPr bwMode="auto">
          <a:xfrm>
            <a:off x="13686" y="-116804"/>
            <a:ext cx="1668" cy="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35" name="Rectangle 556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>
            <a:spLocks noChangeArrowheads="1"/>
          </xdr:cNvSpPr>
        </xdr:nvSpPr>
        <xdr:spPr bwMode="auto">
          <a:xfrm>
            <a:off x="-1326" y="-116802"/>
            <a:ext cx="13900" cy="7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8</xdr:col>
      <xdr:colOff>180975</xdr:colOff>
      <xdr:row>49</xdr:row>
      <xdr:rowOff>152400</xdr:rowOff>
    </xdr:from>
    <xdr:ext cx="277192" cy="312330"/>
    <xdr:sp macro="" textlink="">
      <xdr:nvSpPr>
        <xdr:cNvPr id="236" name="文本框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1781175" y="9410700"/>
          <a:ext cx="277192" cy="3123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0">
              <a:latin typeface="微软雅黑" panose="020B0503020204020204" pitchFamily="34" charset="-122"/>
              <a:ea typeface="微软雅黑" panose="020B0503020204020204" pitchFamily="34" charset="-122"/>
            </a:rPr>
            <a:t>...</a:t>
          </a:r>
          <a:endParaRPr lang="zh-CN" altLang="en-US" sz="1000" b="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10</xdr:col>
      <xdr:colOff>171450</xdr:colOff>
      <xdr:row>45</xdr:row>
      <xdr:rowOff>152400</xdr:rowOff>
    </xdr:from>
    <xdr:to>
      <xdr:col>16</xdr:col>
      <xdr:colOff>38099</xdr:colOff>
      <xdr:row>49</xdr:row>
      <xdr:rowOff>183795</xdr:rowOff>
    </xdr:to>
    <xdr:cxnSp macro="">
      <xdr:nvCxnSpPr>
        <xdr:cNvPr id="238" name="直接箭头连接符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CxnSpPr>
          <a:endCxn id="215" idx="1"/>
        </xdr:cNvCxnSpPr>
      </xdr:nvCxnSpPr>
      <xdr:spPr>
        <a:xfrm>
          <a:off x="2171700" y="8572500"/>
          <a:ext cx="1066799" cy="86959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48</xdr:row>
      <xdr:rowOff>142875</xdr:rowOff>
    </xdr:from>
    <xdr:to>
      <xdr:col>16</xdr:col>
      <xdr:colOff>38099</xdr:colOff>
      <xdr:row>49</xdr:row>
      <xdr:rowOff>183795</xdr:rowOff>
    </xdr:to>
    <xdr:cxnSp macro="">
      <xdr:nvCxnSpPr>
        <xdr:cNvPr id="239" name="直接箭头连接符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CxnSpPr>
          <a:endCxn id="215" idx="1"/>
        </xdr:cNvCxnSpPr>
      </xdr:nvCxnSpPr>
      <xdr:spPr>
        <a:xfrm>
          <a:off x="2152650" y="9191625"/>
          <a:ext cx="1085849" cy="25047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58117</xdr:colOff>
      <xdr:row>49</xdr:row>
      <xdr:rowOff>183795</xdr:rowOff>
    </xdr:from>
    <xdr:to>
      <xdr:col>16</xdr:col>
      <xdr:colOff>38099</xdr:colOff>
      <xdr:row>50</xdr:row>
      <xdr:rowOff>99015</xdr:rowOff>
    </xdr:to>
    <xdr:cxnSp macro="">
      <xdr:nvCxnSpPr>
        <xdr:cNvPr id="242" name="直接箭头连接符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CxnSpPr>
          <a:stCxn id="236" idx="3"/>
          <a:endCxn id="215" idx="1"/>
        </xdr:cNvCxnSpPr>
      </xdr:nvCxnSpPr>
      <xdr:spPr>
        <a:xfrm flipV="1">
          <a:off x="2058367" y="9442095"/>
          <a:ext cx="1180132" cy="12477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115267</xdr:colOff>
      <xdr:row>50</xdr:row>
      <xdr:rowOff>19051</xdr:rowOff>
    </xdr:from>
    <xdr:to>
      <xdr:col>16</xdr:col>
      <xdr:colOff>23813</xdr:colOff>
      <xdr:row>52</xdr:row>
      <xdr:rowOff>175215</xdr:rowOff>
    </xdr:to>
    <xdr:cxnSp macro="">
      <xdr:nvCxnSpPr>
        <xdr:cNvPr id="245" name="直接箭头连接符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CxnSpPr/>
      </xdr:nvCxnSpPr>
      <xdr:spPr>
        <a:xfrm flipV="1">
          <a:off x="2115517" y="9486901"/>
          <a:ext cx="1108696" cy="575264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133349</xdr:colOff>
      <xdr:row>49</xdr:row>
      <xdr:rowOff>183795</xdr:rowOff>
    </xdr:from>
    <xdr:to>
      <xdr:col>23</xdr:col>
      <xdr:colOff>104775</xdr:colOff>
      <xdr:row>49</xdr:row>
      <xdr:rowOff>190500</xdr:rowOff>
    </xdr:to>
    <xdr:cxnSp macro="">
      <xdr:nvCxnSpPr>
        <xdr:cNvPr id="247" name="直接箭头连接符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CxnSpPr>
          <a:stCxn id="215" idx="3"/>
        </xdr:cNvCxnSpPr>
      </xdr:nvCxnSpPr>
      <xdr:spPr>
        <a:xfrm>
          <a:off x="3933824" y="9442095"/>
          <a:ext cx="771526" cy="670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161925</xdr:colOff>
      <xdr:row>46</xdr:row>
      <xdr:rowOff>123825</xdr:rowOff>
    </xdr:from>
    <xdr:ext cx="889987" cy="283411"/>
    <xdr:sp macro="" textlink="">
      <xdr:nvSpPr>
        <xdr:cNvPr id="251" name="文本框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3162300" y="8753475"/>
          <a:ext cx="889987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1"/>
            <a:t>报工服务端</a:t>
          </a:r>
        </a:p>
      </xdr:txBody>
    </xdr:sp>
    <xdr:clientData/>
  </xdr:oneCellAnchor>
  <xdr:oneCellAnchor>
    <xdr:from>
      <xdr:col>24</xdr:col>
      <xdr:colOff>133350</xdr:colOff>
      <xdr:row>46</xdr:row>
      <xdr:rowOff>66675</xdr:rowOff>
    </xdr:from>
    <xdr:ext cx="411908" cy="264560"/>
    <xdr:sp macro="" textlink="">
      <xdr:nvSpPr>
        <xdr:cNvPr id="252" name="文本框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4933950" y="8696325"/>
          <a:ext cx="4119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1"/>
            <a:t>SAP</a:t>
          </a:r>
          <a:endParaRPr lang="zh-CN" altLang="en-US" sz="1100" b="1"/>
        </a:p>
      </xdr:txBody>
    </xdr:sp>
    <xdr:clientData/>
  </xdr:oneCellAnchor>
  <xdr:oneCellAnchor>
    <xdr:from>
      <xdr:col>33</xdr:col>
      <xdr:colOff>85725</xdr:colOff>
      <xdr:row>24</xdr:row>
      <xdr:rowOff>123825</xdr:rowOff>
    </xdr:from>
    <xdr:ext cx="889987" cy="283411"/>
    <xdr:sp macro="" textlink="">
      <xdr:nvSpPr>
        <xdr:cNvPr id="253" name="文本框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686550" y="4143375"/>
          <a:ext cx="889987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1"/>
            <a:t>报工服务端</a:t>
          </a:r>
        </a:p>
      </xdr:txBody>
    </xdr:sp>
    <xdr:clientData/>
  </xdr:oneCellAnchor>
  <xdr:oneCellAnchor>
    <xdr:from>
      <xdr:col>4</xdr:col>
      <xdr:colOff>114300</xdr:colOff>
      <xdr:row>18</xdr:row>
      <xdr:rowOff>152400</xdr:rowOff>
    </xdr:from>
    <xdr:ext cx="434158" cy="264560"/>
    <xdr:sp macro="" textlink="">
      <xdr:nvSpPr>
        <xdr:cNvPr id="254" name="文本框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914400" y="2914650"/>
          <a:ext cx="4341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1"/>
            <a:t>PAD</a:t>
          </a:r>
          <a:endParaRPr lang="zh-CN" altLang="en-US" sz="1100" b="1"/>
        </a:p>
      </xdr:txBody>
    </xdr:sp>
    <xdr:clientData/>
  </xdr:oneCellAnchor>
  <xdr:oneCellAnchor>
    <xdr:from>
      <xdr:col>5</xdr:col>
      <xdr:colOff>114300</xdr:colOff>
      <xdr:row>44</xdr:row>
      <xdr:rowOff>200025</xdr:rowOff>
    </xdr:from>
    <xdr:ext cx="679353" cy="283411"/>
    <xdr:sp macro="" textlink="">
      <xdr:nvSpPr>
        <xdr:cNvPr id="255" name="文本框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1114425" y="8410575"/>
          <a:ext cx="679353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1"/>
            <a:t>生产线</a:t>
          </a:r>
          <a:r>
            <a:rPr lang="en-US" altLang="zh-CN" sz="1100" b="1"/>
            <a:t>1</a:t>
          </a:r>
          <a:endParaRPr lang="zh-CN" altLang="en-US" sz="1100" b="1"/>
        </a:p>
      </xdr:txBody>
    </xdr:sp>
    <xdr:clientData/>
  </xdr:oneCellAnchor>
  <xdr:oneCellAnchor>
    <xdr:from>
      <xdr:col>5</xdr:col>
      <xdr:colOff>95250</xdr:colOff>
      <xdr:row>47</xdr:row>
      <xdr:rowOff>142875</xdr:rowOff>
    </xdr:from>
    <xdr:ext cx="679353" cy="283411"/>
    <xdr:sp macro="" textlink="">
      <xdr:nvSpPr>
        <xdr:cNvPr id="256" name="文本框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1095375" y="8982075"/>
          <a:ext cx="679353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1"/>
            <a:t>生产线</a:t>
          </a:r>
          <a:r>
            <a:rPr lang="en-US" altLang="zh-CN" sz="1100" b="1"/>
            <a:t>2</a:t>
          </a:r>
          <a:endParaRPr lang="zh-CN" altLang="en-US" sz="1100" b="1"/>
        </a:p>
      </xdr:txBody>
    </xdr:sp>
    <xdr:clientData/>
  </xdr:oneCellAnchor>
  <xdr:oneCellAnchor>
    <xdr:from>
      <xdr:col>5</xdr:col>
      <xdr:colOff>85725</xdr:colOff>
      <xdr:row>49</xdr:row>
      <xdr:rowOff>180975</xdr:rowOff>
    </xdr:from>
    <xdr:ext cx="720967" cy="283411"/>
    <xdr:sp macro="" textlink="">
      <xdr:nvSpPr>
        <xdr:cNvPr id="257" name="文本框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1085850" y="9439275"/>
          <a:ext cx="720967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1"/>
            <a:t>生产线</a:t>
          </a:r>
          <a:r>
            <a:rPr lang="en-US" altLang="zh-CN" sz="1100" b="1"/>
            <a:t>...</a:t>
          </a:r>
          <a:endParaRPr lang="zh-CN" altLang="en-US" sz="1100" b="1"/>
        </a:p>
      </xdr:txBody>
    </xdr:sp>
    <xdr:clientData/>
  </xdr:oneCellAnchor>
  <xdr:oneCellAnchor>
    <xdr:from>
      <xdr:col>5</xdr:col>
      <xdr:colOff>66675</xdr:colOff>
      <xdr:row>52</xdr:row>
      <xdr:rowOff>0</xdr:rowOff>
    </xdr:from>
    <xdr:ext cx="700769" cy="283411"/>
    <xdr:sp macro="" textlink="">
      <xdr:nvSpPr>
        <xdr:cNvPr id="258" name="文本框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1066800" y="9886950"/>
          <a:ext cx="700769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1"/>
            <a:t>生产线</a:t>
          </a:r>
          <a:r>
            <a:rPr lang="en-US" altLang="zh-CN" sz="1100" b="1"/>
            <a:t>N</a:t>
          </a:r>
          <a:endParaRPr lang="zh-CN" altLang="en-US" sz="1100" b="1"/>
        </a:p>
      </xdr:txBody>
    </xdr:sp>
    <xdr:clientData/>
  </xdr:oneCellAnchor>
  <xdr:oneCellAnchor>
    <xdr:from>
      <xdr:col>5</xdr:col>
      <xdr:colOff>66675</xdr:colOff>
      <xdr:row>42</xdr:row>
      <xdr:rowOff>200025</xdr:rowOff>
    </xdr:from>
    <xdr:ext cx="607859" cy="283411"/>
    <xdr:sp macro="" textlink="">
      <xdr:nvSpPr>
        <xdr:cNvPr id="259" name="文本框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1066800" y="7991475"/>
          <a:ext cx="607859" cy="2834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1"/>
            <a:t>示意图</a:t>
          </a:r>
        </a:p>
      </xdr:txBody>
    </xdr:sp>
    <xdr:clientData/>
  </xdr:oneCellAnchor>
  <xdr:twoCellAnchor>
    <xdr:from>
      <xdr:col>49</xdr:col>
      <xdr:colOff>66676</xdr:colOff>
      <xdr:row>21</xdr:row>
      <xdr:rowOff>171450</xdr:rowOff>
    </xdr:from>
    <xdr:to>
      <xdr:col>53</xdr:col>
      <xdr:colOff>66676</xdr:colOff>
      <xdr:row>28</xdr:row>
      <xdr:rowOff>0</xdr:rowOff>
    </xdr:to>
    <xdr:grpSp>
      <xdr:nvGrpSpPr>
        <xdr:cNvPr id="261" name="Group 995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>
          <a:grpSpLocks/>
        </xdr:cNvGrpSpPr>
      </xdr:nvGrpSpPr>
      <xdr:grpSpPr bwMode="auto">
        <a:xfrm>
          <a:off x="9677401" y="4610100"/>
          <a:ext cx="800100" cy="1295400"/>
          <a:chOff x="-15095" y="-90305"/>
          <a:chExt cx="19182" cy="158"/>
        </a:xfrm>
      </xdr:grpSpPr>
      <xdr:sp macro="" textlink="">
        <xdr:nvSpPr>
          <xdr:cNvPr id="262" name="Arc 997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>
            <a:spLocks/>
          </xdr:cNvSpPr>
        </xdr:nvSpPr>
        <xdr:spPr bwMode="auto">
          <a:xfrm>
            <a:off x="1585" y="-90305"/>
            <a:ext cx="2502" cy="14"/>
          </a:xfrm>
          <a:custGeom>
            <a:avLst/>
            <a:gdLst>
              <a:gd name="T0" fmla="*/ 0 w 21600"/>
              <a:gd name="T1" fmla="*/ 0 h 21600"/>
              <a:gd name="T2" fmla="*/ 34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63" name="Arc 998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>
            <a:spLocks/>
          </xdr:cNvSpPr>
        </xdr:nvSpPr>
        <xdr:spPr bwMode="auto">
          <a:xfrm>
            <a:off x="1585" y="-90297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64" name="Arc 999">
            <a:extLst>
              <a:ext uri="{FF2B5EF4-FFF2-40B4-BE49-F238E27FC236}">
                <a16:creationId xmlns:a16="http://schemas.microsoft.com/office/drawing/2014/main" id="{00000000-0008-0000-0000-000008010000}"/>
              </a:ext>
            </a:extLst>
          </xdr:cNvPr>
          <xdr:cNvSpPr>
            <a:spLocks/>
          </xdr:cNvSpPr>
        </xdr:nvSpPr>
        <xdr:spPr bwMode="auto">
          <a:xfrm flipH="1">
            <a:off x="-15095" y="-90305"/>
            <a:ext cx="2780" cy="14"/>
          </a:xfrm>
          <a:custGeom>
            <a:avLst/>
            <a:gdLst>
              <a:gd name="T0" fmla="*/ 0 w 21600"/>
              <a:gd name="T1" fmla="*/ 0 h 21600"/>
              <a:gd name="T2" fmla="*/ 4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65" name="Arc 1000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>
            <a:spLocks/>
          </xdr:cNvSpPr>
        </xdr:nvSpPr>
        <xdr:spPr bwMode="auto">
          <a:xfrm flipH="1">
            <a:off x="-13705" y="-90297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66" name="Arc 1001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>
            <a:spLocks/>
          </xdr:cNvSpPr>
        </xdr:nvSpPr>
        <xdr:spPr bwMode="auto">
          <a:xfrm flipH="1" flipV="1">
            <a:off x="-15095" y="-90161"/>
            <a:ext cx="2780" cy="14"/>
          </a:xfrm>
          <a:custGeom>
            <a:avLst/>
            <a:gdLst>
              <a:gd name="T0" fmla="*/ 0 w 21600"/>
              <a:gd name="T1" fmla="*/ 0 h 21600"/>
              <a:gd name="T2" fmla="*/ 4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67" name="Arc 1002">
            <a:extLst>
              <a:ext uri="{FF2B5EF4-FFF2-40B4-BE49-F238E27FC236}">
                <a16:creationId xmlns:a16="http://schemas.microsoft.com/office/drawing/2014/main" id="{00000000-0008-0000-0000-00000B010000}"/>
              </a:ext>
            </a:extLst>
          </xdr:cNvPr>
          <xdr:cNvSpPr>
            <a:spLocks/>
          </xdr:cNvSpPr>
        </xdr:nvSpPr>
        <xdr:spPr bwMode="auto">
          <a:xfrm flipH="1" flipV="1">
            <a:off x="-13705" y="-90165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68" name="Arc 1003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>
            <a:spLocks/>
          </xdr:cNvSpPr>
        </xdr:nvSpPr>
        <xdr:spPr bwMode="auto">
          <a:xfrm flipV="1">
            <a:off x="1585" y="-90161"/>
            <a:ext cx="2502" cy="14"/>
          </a:xfrm>
          <a:custGeom>
            <a:avLst/>
            <a:gdLst>
              <a:gd name="T0" fmla="*/ 0 w 21600"/>
              <a:gd name="T1" fmla="*/ 0 h 21600"/>
              <a:gd name="T2" fmla="*/ 34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69" name="Arc 1004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>
            <a:spLocks/>
          </xdr:cNvSpPr>
        </xdr:nvSpPr>
        <xdr:spPr bwMode="auto">
          <a:xfrm flipV="1">
            <a:off x="1585" y="-90165"/>
            <a:ext cx="1390" cy="10"/>
          </a:xfrm>
          <a:custGeom>
            <a:avLst/>
            <a:gdLst>
              <a:gd name="T0" fmla="*/ 0 w 21600"/>
              <a:gd name="T1" fmla="*/ 0 h 21600"/>
              <a:gd name="T2" fmla="*/ 6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270" name="Line 1005">
            <a:extLst>
              <a:ext uri="{FF2B5EF4-FFF2-40B4-BE49-F238E27FC236}">
                <a16:creationId xmlns:a16="http://schemas.microsoft.com/office/drawing/2014/main" id="{00000000-0008-0000-0000-00000E010000}"/>
              </a:ext>
            </a:extLst>
          </xdr:cNvPr>
          <xdr:cNvSpPr>
            <a:spLocks noChangeShapeType="1"/>
          </xdr:cNvSpPr>
        </xdr:nvSpPr>
        <xdr:spPr bwMode="auto">
          <a:xfrm>
            <a:off x="-12315" y="-90305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1" name="Line 1006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-12593" y="-90147"/>
            <a:ext cx="141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" name="Line 1007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>
            <a:spLocks noChangeShapeType="1"/>
          </xdr:cNvSpPr>
        </xdr:nvSpPr>
        <xdr:spPr bwMode="auto">
          <a:xfrm>
            <a:off x="4087" y="-90291"/>
            <a:ext cx="0" cy="13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" name="Line 1008">
            <a:extLst>
              <a:ext uri="{FF2B5EF4-FFF2-40B4-BE49-F238E27FC236}">
                <a16:creationId xmlns:a16="http://schemas.microsoft.com/office/drawing/2014/main" id="{00000000-0008-0000-0000-000011010000}"/>
              </a:ext>
            </a:extLst>
          </xdr:cNvPr>
          <xdr:cNvSpPr>
            <a:spLocks noChangeShapeType="1"/>
          </xdr:cNvSpPr>
        </xdr:nvSpPr>
        <xdr:spPr bwMode="auto">
          <a:xfrm>
            <a:off x="-15095" y="-90291"/>
            <a:ext cx="0" cy="13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4" name="Line 1009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-12315" y="-90297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5" name="Line 1010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>
            <a:spLocks noChangeShapeType="1"/>
          </xdr:cNvSpPr>
        </xdr:nvSpPr>
        <xdr:spPr bwMode="auto">
          <a:xfrm>
            <a:off x="-12315" y="-90157"/>
            <a:ext cx="139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" name="Line 1011">
            <a:extLst>
              <a:ext uri="{FF2B5EF4-FFF2-40B4-BE49-F238E27FC236}">
                <a16:creationId xmlns:a16="http://schemas.microsoft.com/office/drawing/2014/main" id="{00000000-0008-0000-0000-000014010000}"/>
              </a:ext>
            </a:extLst>
          </xdr:cNvPr>
          <xdr:cNvSpPr>
            <a:spLocks noChangeShapeType="1"/>
          </xdr:cNvSpPr>
        </xdr:nvSpPr>
        <xdr:spPr bwMode="auto">
          <a:xfrm>
            <a:off x="-13705" y="-90287"/>
            <a:ext cx="0" cy="1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7" name="Line 1012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>
            <a:spLocks noChangeShapeType="1"/>
          </xdr:cNvSpPr>
        </xdr:nvSpPr>
        <xdr:spPr bwMode="auto">
          <a:xfrm>
            <a:off x="2975" y="-90287"/>
            <a:ext cx="0" cy="1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8" name="Line 1018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81"/>
            <a:ext cx="97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9" name="Line 1019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71"/>
            <a:ext cx="86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0" name="Line 1020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63"/>
            <a:ext cx="361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1" name="Line 1021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45"/>
            <a:ext cx="1195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2" name="Line 1022">
            <a:extLst>
              <a:ext uri="{FF2B5EF4-FFF2-40B4-BE49-F238E27FC236}">
                <a16:creationId xmlns:a16="http://schemas.microsoft.com/office/drawing/2014/main" id="{00000000-0008-0000-0000-00001A01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53"/>
            <a:ext cx="83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" name="Line 1023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27"/>
            <a:ext cx="889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4" name="Line 1024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>
            <a:spLocks noChangeShapeType="1"/>
          </xdr:cNvSpPr>
        </xdr:nvSpPr>
        <xdr:spPr bwMode="auto">
          <a:xfrm>
            <a:off x="-11481" y="-90235"/>
            <a:ext cx="44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54</xdr:col>
      <xdr:colOff>180975</xdr:colOff>
      <xdr:row>22</xdr:row>
      <xdr:rowOff>38100</xdr:rowOff>
    </xdr:from>
    <xdr:to>
      <xdr:col>62</xdr:col>
      <xdr:colOff>104775</xdr:colOff>
      <xdr:row>23</xdr:row>
      <xdr:rowOff>123825</xdr:rowOff>
    </xdr:to>
    <xdr:sp macro="" textlink="">
      <xdr:nvSpPr>
        <xdr:cNvPr id="287" name="矩形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10982325" y="3848100"/>
          <a:ext cx="1524000" cy="2952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报工一览查询画面</a:t>
          </a:r>
        </a:p>
      </xdr:txBody>
    </xdr:sp>
    <xdr:clientData/>
  </xdr:twoCellAnchor>
  <xdr:twoCellAnchor>
    <xdr:from>
      <xdr:col>54</xdr:col>
      <xdr:colOff>180975</xdr:colOff>
      <xdr:row>26</xdr:row>
      <xdr:rowOff>123825</xdr:rowOff>
    </xdr:from>
    <xdr:to>
      <xdr:col>62</xdr:col>
      <xdr:colOff>104775</xdr:colOff>
      <xdr:row>28</xdr:row>
      <xdr:rowOff>0</xdr:rowOff>
    </xdr:to>
    <xdr:sp macro="" textlink="">
      <xdr:nvSpPr>
        <xdr:cNvPr id="288" name="矩形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0982325" y="4772025"/>
          <a:ext cx="1524000" cy="2952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手动或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PDA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再处理</a:t>
          </a:r>
        </a:p>
      </xdr:txBody>
    </xdr:sp>
    <xdr:clientData/>
  </xdr:twoCellAnchor>
  <xdr:twoCellAnchor>
    <xdr:from>
      <xdr:col>58</xdr:col>
      <xdr:colOff>142875</xdr:colOff>
      <xdr:row>23</xdr:row>
      <xdr:rowOff>123825</xdr:rowOff>
    </xdr:from>
    <xdr:to>
      <xdr:col>58</xdr:col>
      <xdr:colOff>142875</xdr:colOff>
      <xdr:row>26</xdr:row>
      <xdr:rowOff>123825</xdr:rowOff>
    </xdr:to>
    <xdr:cxnSp macro="">
      <xdr:nvCxnSpPr>
        <xdr:cNvPr id="289" name="直接箭头连接符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CxnSpPr>
          <a:stCxn id="287" idx="2"/>
          <a:endCxn id="288" idx="0"/>
        </xdr:cNvCxnSpPr>
      </xdr:nvCxnSpPr>
      <xdr:spPr>
        <a:xfrm>
          <a:off x="11744325" y="4143375"/>
          <a:ext cx="0" cy="62865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58</xdr:col>
      <xdr:colOff>142875</xdr:colOff>
      <xdr:row>24</xdr:row>
      <xdr:rowOff>66675</xdr:rowOff>
    </xdr:from>
    <xdr:ext cx="441146" cy="312330"/>
    <xdr:sp macro="" textlink="">
      <xdr:nvSpPr>
        <xdr:cNvPr id="293" name="文本框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11744325" y="4295775"/>
          <a:ext cx="441146" cy="3123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0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异常</a:t>
          </a:r>
        </a:p>
      </xdr:txBody>
    </xdr:sp>
    <xdr:clientData/>
  </xdr:oneCellAnchor>
  <xdr:twoCellAnchor>
    <xdr:from>
      <xdr:col>48</xdr:col>
      <xdr:colOff>152400</xdr:colOff>
      <xdr:row>20</xdr:row>
      <xdr:rowOff>9526</xdr:rowOff>
    </xdr:from>
    <xdr:to>
      <xdr:col>64</xdr:col>
      <xdr:colOff>76200</xdr:colOff>
      <xdr:row>29</xdr:row>
      <xdr:rowOff>142876</xdr:rowOff>
    </xdr:to>
    <xdr:sp macro="" textlink="">
      <xdr:nvSpPr>
        <xdr:cNvPr id="294" name="矩形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9753600" y="3400426"/>
          <a:ext cx="3124200" cy="2019300"/>
        </a:xfrm>
        <a:prstGeom prst="rect">
          <a:avLst/>
        </a:prstGeom>
        <a:noFill/>
        <a:ln w="31750" cmpd="sng">
          <a:solidFill>
            <a:srgbClr val="0070C0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oneCellAnchor>
    <xdr:from>
      <xdr:col>48</xdr:col>
      <xdr:colOff>152400</xdr:colOff>
      <xdr:row>19</xdr:row>
      <xdr:rowOff>47625</xdr:rowOff>
    </xdr:from>
    <xdr:ext cx="1031051" cy="283411"/>
    <xdr:sp macro="" textlink="">
      <xdr:nvSpPr>
        <xdr:cNvPr id="295" name="文本框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/>
      </xdr:nvSpPr>
      <xdr:spPr>
        <a:xfrm>
          <a:off x="9753600" y="3228975"/>
          <a:ext cx="1031051" cy="2834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1"/>
            <a:t>报工结果查询</a:t>
          </a:r>
        </a:p>
      </xdr:txBody>
    </xdr:sp>
    <xdr:clientData/>
  </xdr:oneCellAnchor>
  <xdr:oneCellAnchor>
    <xdr:from>
      <xdr:col>27</xdr:col>
      <xdr:colOff>114300</xdr:colOff>
      <xdr:row>60</xdr:row>
      <xdr:rowOff>38100</xdr:rowOff>
    </xdr:from>
    <xdr:ext cx="466726" cy="264560"/>
    <xdr:sp macro="" textlink="">
      <xdr:nvSpPr>
        <xdr:cNvPr id="296" name="文本框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5514975" y="11811000"/>
          <a:ext cx="466726" cy="26456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zh-CN" sz="1100" b="1">
              <a:solidFill>
                <a:schemeClr val="bg1"/>
              </a:solidFill>
            </a:rPr>
            <a:t>OK</a:t>
          </a:r>
          <a:endParaRPr lang="zh-CN" altLang="en-US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27</xdr:col>
      <xdr:colOff>123825</xdr:colOff>
      <xdr:row>63</xdr:row>
      <xdr:rowOff>171450</xdr:rowOff>
    </xdr:from>
    <xdr:ext cx="466726" cy="264560"/>
    <xdr:sp macro="" textlink="">
      <xdr:nvSpPr>
        <xdr:cNvPr id="297" name="文本框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5524500" y="12573000"/>
          <a:ext cx="466726" cy="26456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zh-CN" sz="1100" b="1">
              <a:solidFill>
                <a:schemeClr val="bg1"/>
              </a:solidFill>
            </a:rPr>
            <a:t>OK</a:t>
          </a:r>
          <a:endParaRPr lang="zh-CN" altLang="en-US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27</xdr:col>
      <xdr:colOff>114300</xdr:colOff>
      <xdr:row>70</xdr:row>
      <xdr:rowOff>200025</xdr:rowOff>
    </xdr:from>
    <xdr:ext cx="466726" cy="264560"/>
    <xdr:sp macro="" textlink="">
      <xdr:nvSpPr>
        <xdr:cNvPr id="298" name="文本框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5514975" y="13230225"/>
          <a:ext cx="466726" cy="26456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zh-CN" sz="1100" b="1">
              <a:solidFill>
                <a:schemeClr val="bg1"/>
              </a:solidFill>
            </a:rPr>
            <a:t>OK</a:t>
          </a:r>
          <a:endParaRPr lang="zh-CN" altLang="en-US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27</xdr:col>
      <xdr:colOff>104775</xdr:colOff>
      <xdr:row>76</xdr:row>
      <xdr:rowOff>19150</xdr:rowOff>
    </xdr:from>
    <xdr:ext cx="466726" cy="283411"/>
    <xdr:sp macro="" textlink="">
      <xdr:nvSpPr>
        <xdr:cNvPr id="299" name="文本框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/>
      </xdr:nvSpPr>
      <xdr:spPr>
        <a:xfrm>
          <a:off x="5505450" y="14725750"/>
          <a:ext cx="466726" cy="2834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zh-CN" altLang="en-US" sz="1100" b="1">
              <a:solidFill>
                <a:sysClr val="windowText" lastClr="000000"/>
              </a:solidFill>
            </a:rPr>
            <a:t>再议</a:t>
          </a:r>
        </a:p>
      </xdr:txBody>
    </xdr:sp>
    <xdr:clientData/>
  </xdr:oneCellAnchor>
  <xdr:twoCellAnchor>
    <xdr:from>
      <xdr:col>36</xdr:col>
      <xdr:colOff>95250</xdr:colOff>
      <xdr:row>38</xdr:row>
      <xdr:rowOff>142875</xdr:rowOff>
    </xdr:from>
    <xdr:to>
      <xdr:col>63</xdr:col>
      <xdr:colOff>171450</xdr:colOff>
      <xdr:row>43</xdr:row>
      <xdr:rowOff>95250</xdr:rowOff>
    </xdr:to>
    <xdr:sp macro="" textlink="">
      <xdr:nvSpPr>
        <xdr:cNvPr id="300" name="文本框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/>
      </xdr:nvSpPr>
      <xdr:spPr>
        <a:xfrm>
          <a:off x="7296150" y="7724775"/>
          <a:ext cx="5476875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、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PAD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与报工服务端长连接，还是短连接？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、是否需要区分连接的是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PAD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还是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PDA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？方便发生问题时区分查找和对应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、能否保证数据的及时准确性？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en-US" altLang="zh-CN" sz="1050" baseline="0">
              <a:latin typeface="微软雅黑" panose="020B0503020204020204" pitchFamily="34" charset="-122"/>
              <a:ea typeface="微软雅黑" panose="020B0503020204020204" pitchFamily="34" charset="-122"/>
            </a:rPr>
            <a:t>      </a:t>
          </a:r>
          <a:endParaRPr lang="zh-CN" altLang="en-US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oneCellAnchor>
    <xdr:from>
      <xdr:col>27</xdr:col>
      <xdr:colOff>85725</xdr:colOff>
      <xdr:row>68</xdr:row>
      <xdr:rowOff>19050</xdr:rowOff>
    </xdr:from>
    <xdr:ext cx="466726" cy="264560"/>
    <xdr:sp macro="" textlink="">
      <xdr:nvSpPr>
        <xdr:cNvPr id="301" name="文本框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5295900" y="14306550"/>
          <a:ext cx="466726" cy="26456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r>
            <a:rPr lang="en-US" altLang="zh-CN" sz="1100" b="1">
              <a:solidFill>
                <a:schemeClr val="bg1"/>
              </a:solidFill>
              <a:latin typeface="+mn-lt"/>
              <a:ea typeface="+mn-ea"/>
              <a:cs typeface="+mn-cs"/>
            </a:rPr>
            <a:t>OK</a:t>
          </a:r>
          <a:endParaRPr lang="zh-CN" altLang="zh-CN" sz="11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27</xdr:col>
      <xdr:colOff>133350</xdr:colOff>
      <xdr:row>55</xdr:row>
      <xdr:rowOff>0</xdr:rowOff>
    </xdr:from>
    <xdr:ext cx="5124450" cy="742950"/>
    <xdr:sp macro="" textlink="">
      <xdr:nvSpPr>
        <xdr:cNvPr id="237" name="文本框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5343525" y="11563350"/>
          <a:ext cx="5124450" cy="74295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11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对策：追加手动报工画面，点击部分报工</a:t>
          </a:r>
          <a:endParaRPr lang="en-US" altLang="zh-CN" sz="11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1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            画面按托盘序号分开明细，可手动依次点击</a:t>
          </a:r>
        </a:p>
      </xdr:txBody>
    </xdr:sp>
    <xdr:clientData/>
  </xdr:oneCellAnchor>
  <xdr:oneCellAnchor>
    <xdr:from>
      <xdr:col>30</xdr:col>
      <xdr:colOff>180974</xdr:colOff>
      <xdr:row>67</xdr:row>
      <xdr:rowOff>171550</xdr:rowOff>
    </xdr:from>
    <xdr:ext cx="4600576" cy="283411"/>
    <xdr:sp macro="" textlink="">
      <xdr:nvSpPr>
        <xdr:cNvPr id="240" name="文本框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5991224" y="14249500"/>
          <a:ext cx="4600576" cy="2834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zh-CN" altLang="en-US" sz="1100" b="0">
              <a:solidFill>
                <a:sysClr val="windowText" lastClr="000000"/>
              </a:solidFill>
            </a:rPr>
            <a:t>对策：系统再次报工，报工系统会对重复报工数据进行防误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5</xdr:row>
      <xdr:rowOff>9525</xdr:rowOff>
    </xdr:from>
    <xdr:to>
      <xdr:col>9</xdr:col>
      <xdr:colOff>9526</xdr:colOff>
      <xdr:row>6</xdr:row>
      <xdr:rowOff>9525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914401" y="809625"/>
          <a:ext cx="723900" cy="209550"/>
          <a:chOff x="3495675" y="1438275"/>
          <a:chExt cx="1095375" cy="219075"/>
        </a:xfrm>
      </xdr:grpSpPr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3495675" y="1438275"/>
            <a:ext cx="1095375" cy="219075"/>
          </a:xfrm>
          <a:prstGeom prst="rect">
            <a:avLst/>
          </a:prstGeom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05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4" name="等腰三角形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 flipV="1">
            <a:off x="4362450" y="1476375"/>
            <a:ext cx="171450" cy="133350"/>
          </a:xfrm>
          <a:prstGeom prst="triangle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05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</xdr:col>
      <xdr:colOff>152401</xdr:colOff>
      <xdr:row>4</xdr:row>
      <xdr:rowOff>47626</xdr:rowOff>
    </xdr:from>
    <xdr:to>
      <xdr:col>17</xdr:col>
      <xdr:colOff>114301</xdr:colOff>
      <xdr:row>6</xdr:row>
      <xdr:rowOff>1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771776" y="762001"/>
          <a:ext cx="1085850" cy="2476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2021/08/18</a:t>
          </a:r>
          <a:endParaRPr lang="zh-CN" altLang="en-US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31</xdr:col>
      <xdr:colOff>123825</xdr:colOff>
      <xdr:row>2</xdr:row>
      <xdr:rowOff>276225</xdr:rowOff>
    </xdr:from>
    <xdr:to>
      <xdr:col>39</xdr:col>
      <xdr:colOff>190500</xdr:colOff>
      <xdr:row>10</xdr:row>
      <xdr:rowOff>180975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V="1">
          <a:off x="8115300" y="485775"/>
          <a:ext cx="2047875" cy="150495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40</xdr:col>
      <xdr:colOff>26424</xdr:colOff>
      <xdr:row>2</xdr:row>
      <xdr:rowOff>200025</xdr:rowOff>
    </xdr:from>
    <xdr:to>
      <xdr:col>59</xdr:col>
      <xdr:colOff>237123</xdr:colOff>
      <xdr:row>12</xdr:row>
      <xdr:rowOff>152400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6749" y="409575"/>
          <a:ext cx="4916049" cy="2133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31</xdr:col>
      <xdr:colOff>190500</xdr:colOff>
      <xdr:row>13</xdr:row>
      <xdr:rowOff>142875</xdr:rowOff>
    </xdr:from>
    <xdr:to>
      <xdr:col>37</xdr:col>
      <xdr:colOff>28575</xdr:colOff>
      <xdr:row>14</xdr:row>
      <xdr:rowOff>38100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8181975" y="2686050"/>
          <a:ext cx="1323975" cy="14287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142875</xdr:colOff>
      <xdr:row>14</xdr:row>
      <xdr:rowOff>5628</xdr:rowOff>
    </xdr:from>
    <xdr:to>
      <xdr:col>55</xdr:col>
      <xdr:colOff>208633</xdr:colOff>
      <xdr:row>30</xdr:row>
      <xdr:rowOff>65983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0" y="2796453"/>
          <a:ext cx="4523458" cy="34131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3</xdr:row>
      <xdr:rowOff>95250</xdr:rowOff>
    </xdr:from>
    <xdr:to>
      <xdr:col>3</xdr:col>
      <xdr:colOff>523875</xdr:colOff>
      <xdr:row>5</xdr:row>
      <xdr:rowOff>9525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09600" y="638175"/>
          <a:ext cx="1114425" cy="2762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计划检查</a:t>
          </a:r>
        </a:p>
      </xdr:txBody>
    </xdr:sp>
    <xdr:clientData/>
  </xdr:twoCellAnchor>
  <xdr:twoCellAnchor>
    <xdr:from>
      <xdr:col>4</xdr:col>
      <xdr:colOff>438150</xdr:colOff>
      <xdr:row>7</xdr:row>
      <xdr:rowOff>95250</xdr:rowOff>
    </xdr:from>
    <xdr:to>
      <xdr:col>6</xdr:col>
      <xdr:colOff>180975</xdr:colOff>
      <xdr:row>9</xdr:row>
      <xdr:rowOff>9525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324100" y="1362075"/>
          <a:ext cx="1114425" cy="2762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合格数</a:t>
          </a:r>
          <a:r>
            <a:rPr lang="en-US" altLang="zh-CN" sz="1050">
              <a:latin typeface="微软雅黑" panose="020B0503020204020204" pitchFamily="34" charset="-122"/>
              <a:ea typeface="微软雅黑" panose="020B0503020204020204" pitchFamily="34" charset="-122"/>
            </a:rPr>
            <a:t>&gt;=2</a:t>
          </a:r>
          <a:endParaRPr lang="zh-CN" altLang="en-US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9525</xdr:colOff>
      <xdr:row>14</xdr:row>
      <xdr:rowOff>57150</xdr:rowOff>
    </xdr:from>
    <xdr:to>
      <xdr:col>8</xdr:col>
      <xdr:colOff>123825</xdr:colOff>
      <xdr:row>18</xdr:row>
      <xdr:rowOff>161925</xdr:rowOff>
    </xdr:to>
    <xdr:sp macro="" textlink="">
      <xdr:nvSpPr>
        <xdr:cNvPr id="4" name="流程图: 决策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267075" y="2590800"/>
          <a:ext cx="1485900" cy="828675"/>
        </a:xfrm>
        <a:prstGeom prst="flowChartDecision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未报工</a:t>
          </a:r>
        </a:p>
      </xdr:txBody>
    </xdr:sp>
    <xdr:clientData/>
  </xdr:twoCellAnchor>
  <xdr:twoCellAnchor>
    <xdr:from>
      <xdr:col>3</xdr:col>
      <xdr:colOff>523875</xdr:colOff>
      <xdr:row>25</xdr:row>
      <xdr:rowOff>0</xdr:rowOff>
    </xdr:from>
    <xdr:to>
      <xdr:col>5</xdr:col>
      <xdr:colOff>266700</xdr:colOff>
      <xdr:row>26</xdr:row>
      <xdr:rowOff>95250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724025" y="4524375"/>
          <a:ext cx="1114425" cy="2762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数据取出</a:t>
          </a:r>
        </a:p>
      </xdr:txBody>
    </xdr:sp>
    <xdr:clientData/>
  </xdr:twoCellAnchor>
  <xdr:twoCellAnchor>
    <xdr:from>
      <xdr:col>3</xdr:col>
      <xdr:colOff>581025</xdr:colOff>
      <xdr:row>28</xdr:row>
      <xdr:rowOff>38100</xdr:rowOff>
    </xdr:from>
    <xdr:to>
      <xdr:col>5</xdr:col>
      <xdr:colOff>323850</xdr:colOff>
      <xdr:row>29</xdr:row>
      <xdr:rowOff>133350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781175" y="5105400"/>
          <a:ext cx="1114425" cy="2762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报工明细作成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38100</xdr:colOff>
      <xdr:row>29</xdr:row>
      <xdr:rowOff>19050</xdr:rowOff>
    </xdr:from>
    <xdr:to>
      <xdr:col>9</xdr:col>
      <xdr:colOff>542925</xdr:colOff>
      <xdr:row>32</xdr:row>
      <xdr:rowOff>1</xdr:rowOff>
    </xdr:to>
    <xdr:sp macro="" textlink="">
      <xdr:nvSpPr>
        <xdr:cNvPr id="9" name="流程图: 文档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4667250" y="5267325"/>
          <a:ext cx="1190625" cy="523876"/>
        </a:xfrm>
        <a:prstGeom prst="flowChartDocumen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报工</a:t>
          </a:r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LIST</a:t>
          </a:r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表</a:t>
          </a:r>
        </a:p>
      </xdr:txBody>
    </xdr:sp>
    <xdr:clientData/>
  </xdr:twoCellAnchor>
  <xdr:twoCellAnchor>
    <xdr:from>
      <xdr:col>8</xdr:col>
      <xdr:colOff>38100</xdr:colOff>
      <xdr:row>33</xdr:row>
      <xdr:rowOff>19050</xdr:rowOff>
    </xdr:from>
    <xdr:to>
      <xdr:col>9</xdr:col>
      <xdr:colOff>542925</xdr:colOff>
      <xdr:row>36</xdr:row>
      <xdr:rowOff>1</xdr:rowOff>
    </xdr:to>
    <xdr:sp macro="" textlink="">
      <xdr:nvSpPr>
        <xdr:cNvPr id="10" name="流程图: 文档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4667250" y="5991225"/>
          <a:ext cx="1190625" cy="523876"/>
        </a:xfrm>
        <a:prstGeom prst="flowChartDocumen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报工明细表</a:t>
          </a:r>
        </a:p>
      </xdr:txBody>
    </xdr:sp>
    <xdr:clientData/>
  </xdr:twoCellAnchor>
  <xdr:twoCellAnchor>
    <xdr:from>
      <xdr:col>2</xdr:col>
      <xdr:colOff>76201</xdr:colOff>
      <xdr:row>20</xdr:row>
      <xdr:rowOff>104775</xdr:rowOff>
    </xdr:from>
    <xdr:to>
      <xdr:col>3</xdr:col>
      <xdr:colOff>304801</xdr:colOff>
      <xdr:row>23</xdr:row>
      <xdr:rowOff>85726</xdr:rowOff>
    </xdr:to>
    <xdr:sp macro="" textlink="">
      <xdr:nvSpPr>
        <xdr:cNvPr id="11" name="流程图: 文档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590551" y="3724275"/>
          <a:ext cx="914400" cy="523876"/>
        </a:xfrm>
        <a:prstGeom prst="flowChartDocumen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生产计划表</a:t>
          </a:r>
        </a:p>
      </xdr:txBody>
    </xdr:sp>
    <xdr:clientData/>
  </xdr:twoCellAnchor>
  <xdr:twoCellAnchor>
    <xdr:from>
      <xdr:col>9</xdr:col>
      <xdr:colOff>552450</xdr:colOff>
      <xdr:row>5</xdr:row>
      <xdr:rowOff>85725</xdr:rowOff>
    </xdr:from>
    <xdr:to>
      <xdr:col>11</xdr:col>
      <xdr:colOff>371475</xdr:colOff>
      <xdr:row>8</xdr:row>
      <xdr:rowOff>66676</xdr:rowOff>
    </xdr:to>
    <xdr:sp macro="" textlink="">
      <xdr:nvSpPr>
        <xdr:cNvPr id="12" name="流程图: 文档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5867400" y="990600"/>
          <a:ext cx="1190625" cy="523876"/>
        </a:xfrm>
        <a:prstGeom prst="flowChartDocumen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检查一览表</a:t>
          </a:r>
        </a:p>
      </xdr:txBody>
    </xdr:sp>
    <xdr:clientData/>
  </xdr:twoCellAnchor>
  <xdr:twoCellAnchor>
    <xdr:from>
      <xdr:col>2</xdr:col>
      <xdr:colOff>652464</xdr:colOff>
      <xdr:row>5</xdr:row>
      <xdr:rowOff>9524</xdr:rowOff>
    </xdr:from>
    <xdr:to>
      <xdr:col>5</xdr:col>
      <xdr:colOff>309564</xdr:colOff>
      <xdr:row>7</xdr:row>
      <xdr:rowOff>95249</xdr:rowOff>
    </xdr:to>
    <xdr:cxnSp macro="">
      <xdr:nvCxnSpPr>
        <xdr:cNvPr id="14" name="肘形连接符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>
          <a:stCxn id="2" idx="2"/>
          <a:endCxn id="3" idx="0"/>
        </xdr:cNvCxnSpPr>
      </xdr:nvCxnSpPr>
      <xdr:spPr>
        <a:xfrm rot="16200000" flipH="1">
          <a:off x="1800226" y="280987"/>
          <a:ext cx="447675" cy="1714500"/>
        </a:xfrm>
        <a:prstGeom prst="bentConnector3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309563</xdr:colOff>
      <xdr:row>9</xdr:row>
      <xdr:rowOff>9525</xdr:rowOff>
    </xdr:from>
    <xdr:to>
      <xdr:col>7</xdr:col>
      <xdr:colOff>66675</xdr:colOff>
      <xdr:row>14</xdr:row>
      <xdr:rowOff>57150</xdr:rowOff>
    </xdr:to>
    <xdr:cxnSp macro="">
      <xdr:nvCxnSpPr>
        <xdr:cNvPr id="15" name="肘形连接符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>
          <a:stCxn id="3" idx="2"/>
          <a:endCxn id="4" idx="0"/>
        </xdr:cNvCxnSpPr>
      </xdr:nvCxnSpPr>
      <xdr:spPr>
        <a:xfrm rot="16200000" flipH="1">
          <a:off x="2969419" y="1550194"/>
          <a:ext cx="952500" cy="1128712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395289</xdr:colOff>
      <xdr:row>16</xdr:row>
      <xdr:rowOff>109537</xdr:rowOff>
    </xdr:from>
    <xdr:to>
      <xdr:col>6</xdr:col>
      <xdr:colOff>9526</xdr:colOff>
      <xdr:row>24</xdr:row>
      <xdr:rowOff>180974</xdr:rowOff>
    </xdr:to>
    <xdr:cxnSp macro="">
      <xdr:nvCxnSpPr>
        <xdr:cNvPr id="18" name="肘形连接符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stCxn id="4" idx="1"/>
          <a:endCxn id="5" idx="0"/>
        </xdr:cNvCxnSpPr>
      </xdr:nvCxnSpPr>
      <xdr:spPr>
        <a:xfrm rot="10800000" flipV="1">
          <a:off x="2281239" y="3005137"/>
          <a:ext cx="985837" cy="1519237"/>
        </a:xfrm>
        <a:prstGeom prst="bentConnector2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304801</xdr:colOff>
      <xdr:row>22</xdr:row>
      <xdr:rowOff>4763</xdr:rowOff>
    </xdr:from>
    <xdr:to>
      <xdr:col>3</xdr:col>
      <xdr:colOff>523875</xdr:colOff>
      <xdr:row>25</xdr:row>
      <xdr:rowOff>138113</xdr:rowOff>
    </xdr:to>
    <xdr:cxnSp macro="">
      <xdr:nvCxnSpPr>
        <xdr:cNvPr id="21" name="肘形连接符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>
          <a:stCxn id="11" idx="3"/>
          <a:endCxn id="5" idx="1"/>
        </xdr:cNvCxnSpPr>
      </xdr:nvCxnSpPr>
      <xdr:spPr>
        <a:xfrm>
          <a:off x="1504951" y="3986213"/>
          <a:ext cx="219074" cy="676275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180976</xdr:colOff>
      <xdr:row>6</xdr:row>
      <xdr:rowOff>166688</xdr:rowOff>
    </xdr:from>
    <xdr:to>
      <xdr:col>9</xdr:col>
      <xdr:colOff>552451</xdr:colOff>
      <xdr:row>8</xdr:row>
      <xdr:rowOff>52388</xdr:rowOff>
    </xdr:to>
    <xdr:cxnSp macro="">
      <xdr:nvCxnSpPr>
        <xdr:cNvPr id="24" name="肘形连接符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>
          <a:stCxn id="12" idx="1"/>
          <a:endCxn id="3" idx="3"/>
        </xdr:cNvCxnSpPr>
      </xdr:nvCxnSpPr>
      <xdr:spPr>
        <a:xfrm rot="10800000" flipV="1">
          <a:off x="3438526" y="1252538"/>
          <a:ext cx="2428875" cy="24765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</xdr:row>
      <xdr:rowOff>119062</xdr:rowOff>
    </xdr:from>
    <xdr:to>
      <xdr:col>10</xdr:col>
      <xdr:colOff>428625</xdr:colOff>
      <xdr:row>16</xdr:row>
      <xdr:rowOff>109537</xdr:rowOff>
    </xdr:to>
    <xdr:cxnSp macro="">
      <xdr:nvCxnSpPr>
        <xdr:cNvPr id="34" name="肘形连接符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>
          <a:stCxn id="41" idx="1"/>
          <a:endCxn id="4" idx="3"/>
        </xdr:cNvCxnSpPr>
      </xdr:nvCxnSpPr>
      <xdr:spPr>
        <a:xfrm rot="10800000" flipV="1">
          <a:off x="4752975" y="2652712"/>
          <a:ext cx="1676400" cy="352425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28</xdr:row>
      <xdr:rowOff>176213</xdr:rowOff>
    </xdr:from>
    <xdr:to>
      <xdr:col>8</xdr:col>
      <xdr:colOff>38100</xdr:colOff>
      <xdr:row>30</xdr:row>
      <xdr:rowOff>100013</xdr:rowOff>
    </xdr:to>
    <xdr:cxnSp macro="">
      <xdr:nvCxnSpPr>
        <xdr:cNvPr id="38" name="肘形连接符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6" idx="3"/>
          <a:endCxn id="9" idx="1"/>
        </xdr:cNvCxnSpPr>
      </xdr:nvCxnSpPr>
      <xdr:spPr>
        <a:xfrm>
          <a:off x="2895600" y="5243513"/>
          <a:ext cx="1771650" cy="28575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28</xdr:row>
      <xdr:rowOff>176213</xdr:rowOff>
    </xdr:from>
    <xdr:to>
      <xdr:col>8</xdr:col>
      <xdr:colOff>38100</xdr:colOff>
      <xdr:row>34</xdr:row>
      <xdr:rowOff>100013</xdr:rowOff>
    </xdr:to>
    <xdr:cxnSp macro="">
      <xdr:nvCxnSpPr>
        <xdr:cNvPr id="42" name="肘形连接符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>
          <a:stCxn id="6" idx="3"/>
          <a:endCxn id="10" idx="1"/>
        </xdr:cNvCxnSpPr>
      </xdr:nvCxnSpPr>
      <xdr:spPr>
        <a:xfrm>
          <a:off x="2895600" y="5243513"/>
          <a:ext cx="1771650" cy="100965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395288</xdr:colOff>
      <xdr:row>26</xdr:row>
      <xdr:rowOff>95250</xdr:rowOff>
    </xdr:from>
    <xdr:to>
      <xdr:col>4</xdr:col>
      <xdr:colOff>452438</xdr:colOff>
      <xdr:row>28</xdr:row>
      <xdr:rowOff>38100</xdr:rowOff>
    </xdr:to>
    <xdr:cxnSp macro="">
      <xdr:nvCxnSpPr>
        <xdr:cNvPr id="45" name="肘形连接符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CxnSpPr>
          <a:stCxn id="5" idx="2"/>
          <a:endCxn id="6" idx="0"/>
        </xdr:cNvCxnSpPr>
      </xdr:nvCxnSpPr>
      <xdr:spPr>
        <a:xfrm rot="16200000" flipH="1">
          <a:off x="2157413" y="4924425"/>
          <a:ext cx="304800" cy="5715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33</xdr:row>
      <xdr:rowOff>133350</xdr:rowOff>
    </xdr:from>
    <xdr:to>
      <xdr:col>6</xdr:col>
      <xdr:colOff>123825</xdr:colOff>
      <xdr:row>35</xdr:row>
      <xdr:rowOff>47625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2266950" y="6105525"/>
          <a:ext cx="1114425" cy="2762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报工处理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342900</xdr:colOff>
      <xdr:row>39</xdr:row>
      <xdr:rowOff>85725</xdr:rowOff>
    </xdr:from>
    <xdr:to>
      <xdr:col>7</xdr:col>
      <xdr:colOff>85725</xdr:colOff>
      <xdr:row>41</xdr:row>
      <xdr:rowOff>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2914650" y="7143750"/>
          <a:ext cx="1114425" cy="2762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结果回更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452437</xdr:colOff>
      <xdr:row>29</xdr:row>
      <xdr:rowOff>133350</xdr:rowOff>
    </xdr:from>
    <xdr:to>
      <xdr:col>5</xdr:col>
      <xdr:colOff>252412</xdr:colOff>
      <xdr:row>33</xdr:row>
      <xdr:rowOff>133350</xdr:rowOff>
    </xdr:to>
    <xdr:cxnSp macro="">
      <xdr:nvCxnSpPr>
        <xdr:cNvPr id="53" name="肘形连接符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CxnSpPr>
          <a:stCxn id="6" idx="2"/>
          <a:endCxn id="51" idx="0"/>
        </xdr:cNvCxnSpPr>
      </xdr:nvCxnSpPr>
      <xdr:spPr>
        <a:xfrm rot="16200000" flipH="1">
          <a:off x="2219325" y="5500687"/>
          <a:ext cx="723900" cy="485775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252413</xdr:colOff>
      <xdr:row>35</xdr:row>
      <xdr:rowOff>47625</xdr:rowOff>
    </xdr:from>
    <xdr:to>
      <xdr:col>6</xdr:col>
      <xdr:colOff>214313</xdr:colOff>
      <xdr:row>39</xdr:row>
      <xdr:rowOff>85725</xdr:rowOff>
    </xdr:to>
    <xdr:cxnSp macro="">
      <xdr:nvCxnSpPr>
        <xdr:cNvPr id="57" name="肘形连接符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>
          <a:stCxn id="51" idx="2"/>
          <a:endCxn id="52" idx="0"/>
        </xdr:cNvCxnSpPr>
      </xdr:nvCxnSpPr>
      <xdr:spPr>
        <a:xfrm rot="16200000" flipH="1">
          <a:off x="2767013" y="6438900"/>
          <a:ext cx="762000" cy="64770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35</xdr:row>
      <xdr:rowOff>146342</xdr:rowOff>
    </xdr:from>
    <xdr:to>
      <xdr:col>8</xdr:col>
      <xdr:colOff>633413</xdr:colOff>
      <xdr:row>40</xdr:row>
      <xdr:rowOff>42863</xdr:rowOff>
    </xdr:to>
    <xdr:cxnSp macro="">
      <xdr:nvCxnSpPr>
        <xdr:cNvPr id="61" name="肘形连接符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>
          <a:stCxn id="52" idx="3"/>
          <a:endCxn id="10" idx="2"/>
        </xdr:cNvCxnSpPr>
      </xdr:nvCxnSpPr>
      <xdr:spPr>
        <a:xfrm flipV="1">
          <a:off x="4029075" y="6480467"/>
          <a:ext cx="1233488" cy="801396"/>
        </a:xfrm>
        <a:prstGeom prst="bentConnector2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30</xdr:row>
      <xdr:rowOff>100013</xdr:rowOff>
    </xdr:from>
    <xdr:to>
      <xdr:col>9</xdr:col>
      <xdr:colOff>542925</xdr:colOff>
      <xdr:row>40</xdr:row>
      <xdr:rowOff>42863</xdr:rowOff>
    </xdr:to>
    <xdr:cxnSp macro="">
      <xdr:nvCxnSpPr>
        <xdr:cNvPr id="64" name="肘形连接符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CxnSpPr>
          <a:stCxn id="52" idx="3"/>
          <a:endCxn id="9" idx="3"/>
        </xdr:cNvCxnSpPr>
      </xdr:nvCxnSpPr>
      <xdr:spPr>
        <a:xfrm flipV="1">
          <a:off x="4029075" y="5529263"/>
          <a:ext cx="1828800" cy="1752600"/>
        </a:xfrm>
        <a:prstGeom prst="bentConnector3">
          <a:avLst>
            <a:gd name="adj1" fmla="val 1125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34</xdr:row>
      <xdr:rowOff>90489</xdr:rowOff>
    </xdr:from>
    <xdr:to>
      <xdr:col>6</xdr:col>
      <xdr:colOff>214313</xdr:colOff>
      <xdr:row>41</xdr:row>
      <xdr:rowOff>1</xdr:rowOff>
    </xdr:to>
    <xdr:cxnSp macro="">
      <xdr:nvCxnSpPr>
        <xdr:cNvPr id="69" name="肘形连接符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>
          <a:stCxn id="52" idx="2"/>
          <a:endCxn id="51" idx="1"/>
        </xdr:cNvCxnSpPr>
      </xdr:nvCxnSpPr>
      <xdr:spPr>
        <a:xfrm rot="5400000" flipH="1">
          <a:off x="2281238" y="6229351"/>
          <a:ext cx="1176337" cy="1204913"/>
        </a:xfrm>
        <a:prstGeom prst="bentConnector4">
          <a:avLst>
            <a:gd name="adj1" fmla="val -19433"/>
            <a:gd name="adj2" fmla="val 118972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523875</xdr:colOff>
      <xdr:row>40</xdr:row>
      <xdr:rowOff>161925</xdr:rowOff>
    </xdr:from>
    <xdr:ext cx="486543" cy="264560"/>
    <xdr:sp macro="" textlink="">
      <xdr:nvSpPr>
        <xdr:cNvPr id="75" name="文本框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 txBox="1"/>
      </xdr:nvSpPr>
      <xdr:spPr>
        <a:xfrm>
          <a:off x="2409825" y="7400925"/>
          <a:ext cx="4865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NEXT</a:t>
          </a:r>
          <a:endParaRPr lang="zh-CN" altLang="en-US" sz="1100"/>
        </a:p>
      </xdr:txBody>
    </xdr:sp>
    <xdr:clientData/>
  </xdr:oneCellAnchor>
  <xdr:oneCellAnchor>
    <xdr:from>
      <xdr:col>8</xdr:col>
      <xdr:colOff>161925</xdr:colOff>
      <xdr:row>13</xdr:row>
      <xdr:rowOff>38100</xdr:rowOff>
    </xdr:from>
    <xdr:ext cx="1595309" cy="283411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791075" y="2390775"/>
          <a:ext cx="1595309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报工一览表中存不存在</a:t>
          </a:r>
        </a:p>
      </xdr:txBody>
    </xdr:sp>
    <xdr:clientData/>
  </xdr:oneCellAnchor>
  <xdr:oneCellAnchor>
    <xdr:from>
      <xdr:col>4</xdr:col>
      <xdr:colOff>333375</xdr:colOff>
      <xdr:row>15</xdr:row>
      <xdr:rowOff>47625</xdr:rowOff>
    </xdr:from>
    <xdr:ext cx="607859" cy="283411"/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2219325" y="2762250"/>
          <a:ext cx="607859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不存在</a:t>
          </a:r>
        </a:p>
      </xdr:txBody>
    </xdr:sp>
    <xdr:clientData/>
  </xdr:oneCellAnchor>
  <xdr:twoCellAnchor>
    <xdr:from>
      <xdr:col>10</xdr:col>
      <xdr:colOff>428625</xdr:colOff>
      <xdr:row>13</xdr:row>
      <xdr:rowOff>38100</xdr:rowOff>
    </xdr:from>
    <xdr:to>
      <xdr:col>12</xdr:col>
      <xdr:colOff>247650</xdr:colOff>
      <xdr:row>16</xdr:row>
      <xdr:rowOff>19051</xdr:rowOff>
    </xdr:to>
    <xdr:sp macro="" textlink="">
      <xdr:nvSpPr>
        <xdr:cNvPr id="41" name="流程图: 文档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6429375" y="2390775"/>
          <a:ext cx="1190625" cy="523876"/>
        </a:xfrm>
        <a:prstGeom prst="flowChartDocumen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报工</a:t>
          </a:r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LIST</a:t>
          </a:r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表</a:t>
          </a:r>
        </a:p>
      </xdr:txBody>
    </xdr:sp>
    <xdr:clientData/>
  </xdr:twoCellAnchor>
  <xdr:twoCellAnchor>
    <xdr:from>
      <xdr:col>12</xdr:col>
      <xdr:colOff>142875</xdr:colOff>
      <xdr:row>20</xdr:row>
      <xdr:rowOff>152400</xdr:rowOff>
    </xdr:from>
    <xdr:to>
      <xdr:col>13</xdr:col>
      <xdr:colOff>571500</xdr:colOff>
      <xdr:row>22</xdr:row>
      <xdr:rowOff>66675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7515225" y="3771900"/>
          <a:ext cx="1114425" cy="2762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数据取出</a:t>
          </a:r>
        </a:p>
      </xdr:txBody>
    </xdr:sp>
    <xdr:clientData/>
  </xdr:twoCellAnchor>
  <xdr:twoCellAnchor>
    <xdr:from>
      <xdr:col>12</xdr:col>
      <xdr:colOff>314325</xdr:colOff>
      <xdr:row>25</xdr:row>
      <xdr:rowOff>47625</xdr:rowOff>
    </xdr:from>
    <xdr:to>
      <xdr:col>14</xdr:col>
      <xdr:colOff>542925</xdr:colOff>
      <xdr:row>31</xdr:row>
      <xdr:rowOff>180974</xdr:rowOff>
    </xdr:to>
    <xdr:sp macro="" textlink="">
      <xdr:nvSpPr>
        <xdr:cNvPr id="50" name="流程图: 决策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7686675" y="4572000"/>
          <a:ext cx="1600200" cy="1219199"/>
        </a:xfrm>
        <a:prstGeom prst="flowChartDecision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是否存在未报工</a:t>
          </a:r>
        </a:p>
      </xdr:txBody>
    </xdr:sp>
    <xdr:clientData/>
  </xdr:twoCellAnchor>
  <xdr:oneCellAnchor>
    <xdr:from>
      <xdr:col>5</xdr:col>
      <xdr:colOff>314325</xdr:colOff>
      <xdr:row>36</xdr:row>
      <xdr:rowOff>9525</xdr:rowOff>
    </xdr:from>
    <xdr:ext cx="466794" cy="283411"/>
    <xdr:sp macro="" textlink="">
      <xdr:nvSpPr>
        <xdr:cNvPr id="54" name="文本框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 txBox="1"/>
      </xdr:nvSpPr>
      <xdr:spPr>
        <a:xfrm>
          <a:off x="2886075" y="6524625"/>
          <a:ext cx="466794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逐条</a:t>
          </a:r>
        </a:p>
      </xdr:txBody>
    </xdr:sp>
    <xdr:clientData/>
  </xdr:oneCellAnchor>
  <xdr:twoCellAnchor>
    <xdr:from>
      <xdr:col>7</xdr:col>
      <xdr:colOff>66675</xdr:colOff>
      <xdr:row>18</xdr:row>
      <xdr:rowOff>161924</xdr:rowOff>
    </xdr:from>
    <xdr:to>
      <xdr:col>13</xdr:col>
      <xdr:colOff>14288</xdr:colOff>
      <xdr:row>20</xdr:row>
      <xdr:rowOff>152399</xdr:rowOff>
    </xdr:to>
    <xdr:cxnSp macro="">
      <xdr:nvCxnSpPr>
        <xdr:cNvPr id="55" name="肘形连接符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CxnSpPr>
          <a:stCxn id="4" idx="2"/>
          <a:endCxn id="46" idx="0"/>
        </xdr:cNvCxnSpPr>
      </xdr:nvCxnSpPr>
      <xdr:spPr>
        <a:xfrm rot="16200000" flipH="1">
          <a:off x="5865019" y="1564480"/>
          <a:ext cx="352425" cy="4062413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18</xdr:row>
      <xdr:rowOff>0</xdr:rowOff>
    </xdr:from>
    <xdr:to>
      <xdr:col>16</xdr:col>
      <xdr:colOff>552450</xdr:colOff>
      <xdr:row>20</xdr:row>
      <xdr:rowOff>161926</xdr:rowOff>
    </xdr:to>
    <xdr:sp macro="" textlink="">
      <xdr:nvSpPr>
        <xdr:cNvPr id="65" name="流程图: 文档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9477375" y="3257550"/>
          <a:ext cx="1190625" cy="523876"/>
        </a:xfrm>
        <a:prstGeom prst="flowChartDocumen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报工</a:t>
          </a:r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LIST</a:t>
          </a:r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表</a:t>
          </a:r>
        </a:p>
      </xdr:txBody>
    </xdr:sp>
    <xdr:clientData/>
  </xdr:twoCellAnchor>
  <xdr:twoCellAnchor>
    <xdr:from>
      <xdr:col>15</xdr:col>
      <xdr:colOff>47625</xdr:colOff>
      <xdr:row>22</xdr:row>
      <xdr:rowOff>0</xdr:rowOff>
    </xdr:from>
    <xdr:to>
      <xdr:col>16</xdr:col>
      <xdr:colOff>552450</xdr:colOff>
      <xdr:row>24</xdr:row>
      <xdr:rowOff>161926</xdr:rowOff>
    </xdr:to>
    <xdr:sp macro="" textlink="">
      <xdr:nvSpPr>
        <xdr:cNvPr id="66" name="流程图: 文档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9477375" y="3981450"/>
          <a:ext cx="1190625" cy="523876"/>
        </a:xfrm>
        <a:prstGeom prst="flowChartDocumen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报工明细表</a:t>
          </a:r>
        </a:p>
      </xdr:txBody>
    </xdr:sp>
    <xdr:clientData/>
  </xdr:twoCellAnchor>
  <xdr:twoCellAnchor>
    <xdr:from>
      <xdr:col>13</xdr:col>
      <xdr:colOff>571501</xdr:colOff>
      <xdr:row>19</xdr:row>
      <xdr:rowOff>80962</xdr:rowOff>
    </xdr:from>
    <xdr:to>
      <xdr:col>15</xdr:col>
      <xdr:colOff>47626</xdr:colOff>
      <xdr:row>21</xdr:row>
      <xdr:rowOff>109537</xdr:rowOff>
    </xdr:to>
    <xdr:cxnSp macro="">
      <xdr:nvCxnSpPr>
        <xdr:cNvPr id="67" name="肘形连接符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>
          <a:stCxn id="65" idx="1"/>
          <a:endCxn id="46" idx="3"/>
        </xdr:cNvCxnSpPr>
      </xdr:nvCxnSpPr>
      <xdr:spPr>
        <a:xfrm rot="10800000" flipV="1">
          <a:off x="8629651" y="3519487"/>
          <a:ext cx="847725" cy="390525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571501</xdr:colOff>
      <xdr:row>21</xdr:row>
      <xdr:rowOff>109539</xdr:rowOff>
    </xdr:from>
    <xdr:to>
      <xdr:col>15</xdr:col>
      <xdr:colOff>47626</xdr:colOff>
      <xdr:row>23</xdr:row>
      <xdr:rowOff>80964</xdr:rowOff>
    </xdr:to>
    <xdr:cxnSp macro="">
      <xdr:nvCxnSpPr>
        <xdr:cNvPr id="70" name="肘形连接符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stCxn id="66" idx="1"/>
          <a:endCxn id="46" idx="3"/>
        </xdr:cNvCxnSpPr>
      </xdr:nvCxnSpPr>
      <xdr:spPr>
        <a:xfrm rot="10800000">
          <a:off x="8629651" y="3910014"/>
          <a:ext cx="847725" cy="333375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14288</xdr:colOff>
      <xdr:row>22</xdr:row>
      <xdr:rowOff>66674</xdr:rowOff>
    </xdr:from>
    <xdr:to>
      <xdr:col>13</xdr:col>
      <xdr:colOff>428625</xdr:colOff>
      <xdr:row>25</xdr:row>
      <xdr:rowOff>47624</xdr:rowOff>
    </xdr:to>
    <xdr:cxnSp macro="">
      <xdr:nvCxnSpPr>
        <xdr:cNvPr id="72" name="肘形连接符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CxnSpPr>
          <a:stCxn id="46" idx="2"/>
          <a:endCxn id="50" idx="0"/>
        </xdr:cNvCxnSpPr>
      </xdr:nvCxnSpPr>
      <xdr:spPr>
        <a:xfrm rot="16200000" flipH="1">
          <a:off x="8017669" y="4102893"/>
          <a:ext cx="523875" cy="414337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638175</xdr:colOff>
      <xdr:row>34</xdr:row>
      <xdr:rowOff>152400</xdr:rowOff>
    </xdr:from>
    <xdr:to>
      <xdr:col>14</xdr:col>
      <xdr:colOff>381000</xdr:colOff>
      <xdr:row>36</xdr:row>
      <xdr:rowOff>66675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8010525" y="6305550"/>
          <a:ext cx="1114425" cy="2762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报工处理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</xdr:col>
      <xdr:colOff>428625</xdr:colOff>
      <xdr:row>31</xdr:row>
      <xdr:rowOff>180973</xdr:rowOff>
    </xdr:from>
    <xdr:to>
      <xdr:col>13</xdr:col>
      <xdr:colOff>509588</xdr:colOff>
      <xdr:row>34</xdr:row>
      <xdr:rowOff>152399</xdr:rowOff>
    </xdr:to>
    <xdr:cxnSp macro="">
      <xdr:nvCxnSpPr>
        <xdr:cNvPr id="85" name="肘形连接符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CxnSpPr>
          <a:stCxn id="50" idx="2"/>
          <a:endCxn id="79" idx="0"/>
        </xdr:cNvCxnSpPr>
      </xdr:nvCxnSpPr>
      <xdr:spPr>
        <a:xfrm rot="16200000" flipH="1">
          <a:off x="8270081" y="6007892"/>
          <a:ext cx="514351" cy="80963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36</xdr:row>
      <xdr:rowOff>66676</xdr:rowOff>
    </xdr:from>
    <xdr:to>
      <xdr:col>13</xdr:col>
      <xdr:colOff>509588</xdr:colOff>
      <xdr:row>41</xdr:row>
      <xdr:rowOff>1</xdr:rowOff>
    </xdr:to>
    <xdr:cxnSp macro="">
      <xdr:nvCxnSpPr>
        <xdr:cNvPr id="88" name="肘形连接符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CxnSpPr>
          <a:stCxn id="79" idx="2"/>
          <a:endCxn id="52" idx="2"/>
        </xdr:cNvCxnSpPr>
      </xdr:nvCxnSpPr>
      <xdr:spPr>
        <a:xfrm rot="5400000">
          <a:off x="5600701" y="4452938"/>
          <a:ext cx="838200" cy="5095875"/>
        </a:xfrm>
        <a:prstGeom prst="bentConnector3">
          <a:avLst>
            <a:gd name="adj1" fmla="val 127273"/>
          </a:avLst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142875</xdr:colOff>
      <xdr:row>32</xdr:row>
      <xdr:rowOff>152400</xdr:rowOff>
    </xdr:from>
    <xdr:to>
      <xdr:col>16</xdr:col>
      <xdr:colOff>571500</xdr:colOff>
      <xdr:row>34</xdr:row>
      <xdr:rowOff>66675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/>
      </xdr:nvSpPr>
      <xdr:spPr>
        <a:xfrm>
          <a:off x="9572625" y="5943600"/>
          <a:ext cx="1114425" cy="2762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50">
              <a:latin typeface="微软雅黑" panose="020B0503020204020204" pitchFamily="34" charset="-122"/>
              <a:ea typeface="微软雅黑" panose="020B0503020204020204" pitchFamily="34" charset="-122"/>
            </a:rPr>
            <a:t>提示完了</a:t>
          </a:r>
          <a:endParaRPr lang="en-US" altLang="zh-CN" sz="105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14</xdr:col>
      <xdr:colOff>542925</xdr:colOff>
      <xdr:row>28</xdr:row>
      <xdr:rowOff>114300</xdr:rowOff>
    </xdr:from>
    <xdr:to>
      <xdr:col>16</xdr:col>
      <xdr:colOff>14288</xdr:colOff>
      <xdr:row>32</xdr:row>
      <xdr:rowOff>152400</xdr:rowOff>
    </xdr:to>
    <xdr:cxnSp macro="">
      <xdr:nvCxnSpPr>
        <xdr:cNvPr id="94" name="肘形连接符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CxnSpPr>
          <a:stCxn id="50" idx="3"/>
          <a:endCxn id="93" idx="0"/>
        </xdr:cNvCxnSpPr>
      </xdr:nvCxnSpPr>
      <xdr:spPr>
        <a:xfrm>
          <a:off x="9286875" y="5181600"/>
          <a:ext cx="842963" cy="762000"/>
        </a:xfrm>
        <a:prstGeom prst="bentConnector2">
          <a:avLst/>
        </a:prstGeom>
        <a:ln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47625</xdr:colOff>
      <xdr:row>47</xdr:row>
      <xdr:rowOff>47625</xdr:rowOff>
    </xdr:from>
    <xdr:to>
      <xdr:col>26</xdr:col>
      <xdr:colOff>238125</xdr:colOff>
      <xdr:row>47</xdr:row>
      <xdr:rowOff>323850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334250" y="10048875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  <xdr:twoCellAnchor>
    <xdr:from>
      <xdr:col>24</xdr:col>
      <xdr:colOff>47625</xdr:colOff>
      <xdr:row>48</xdr:row>
      <xdr:rowOff>47625</xdr:rowOff>
    </xdr:from>
    <xdr:to>
      <xdr:col>26</xdr:col>
      <xdr:colOff>238125</xdr:colOff>
      <xdr:row>48</xdr:row>
      <xdr:rowOff>323850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467600" y="10048875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  <xdr:twoCellAnchor>
    <xdr:from>
      <xdr:col>24</xdr:col>
      <xdr:colOff>47625</xdr:colOff>
      <xdr:row>49</xdr:row>
      <xdr:rowOff>47625</xdr:rowOff>
    </xdr:from>
    <xdr:to>
      <xdr:col>26</xdr:col>
      <xdr:colOff>238125</xdr:colOff>
      <xdr:row>49</xdr:row>
      <xdr:rowOff>323850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7467600" y="10048875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  <xdr:twoCellAnchor>
    <xdr:from>
      <xdr:col>24</xdr:col>
      <xdr:colOff>47625</xdr:colOff>
      <xdr:row>50</xdr:row>
      <xdr:rowOff>47625</xdr:rowOff>
    </xdr:from>
    <xdr:to>
      <xdr:col>26</xdr:col>
      <xdr:colOff>238125</xdr:colOff>
      <xdr:row>50</xdr:row>
      <xdr:rowOff>323850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7467600" y="10048875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  <xdr:twoCellAnchor>
    <xdr:from>
      <xdr:col>24</xdr:col>
      <xdr:colOff>47625</xdr:colOff>
      <xdr:row>51</xdr:row>
      <xdr:rowOff>47625</xdr:rowOff>
    </xdr:from>
    <xdr:to>
      <xdr:col>26</xdr:col>
      <xdr:colOff>238125</xdr:colOff>
      <xdr:row>51</xdr:row>
      <xdr:rowOff>323850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7467600" y="10048875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  <xdr:twoCellAnchor>
    <xdr:from>
      <xdr:col>24</xdr:col>
      <xdr:colOff>47625</xdr:colOff>
      <xdr:row>52</xdr:row>
      <xdr:rowOff>47625</xdr:rowOff>
    </xdr:from>
    <xdr:to>
      <xdr:col>26</xdr:col>
      <xdr:colOff>238125</xdr:colOff>
      <xdr:row>52</xdr:row>
      <xdr:rowOff>323850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7467600" y="10048875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  <xdr:twoCellAnchor>
    <xdr:from>
      <xdr:col>24</xdr:col>
      <xdr:colOff>47625</xdr:colOff>
      <xdr:row>53</xdr:row>
      <xdr:rowOff>47625</xdr:rowOff>
    </xdr:from>
    <xdr:to>
      <xdr:col>26</xdr:col>
      <xdr:colOff>238125</xdr:colOff>
      <xdr:row>53</xdr:row>
      <xdr:rowOff>323850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7467600" y="10048875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  <xdr:twoCellAnchor>
    <xdr:from>
      <xdr:col>24</xdr:col>
      <xdr:colOff>47625</xdr:colOff>
      <xdr:row>54</xdr:row>
      <xdr:rowOff>47625</xdr:rowOff>
    </xdr:from>
    <xdr:to>
      <xdr:col>26</xdr:col>
      <xdr:colOff>238125</xdr:colOff>
      <xdr:row>54</xdr:row>
      <xdr:rowOff>323850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7467600" y="10048875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  <xdr:twoCellAnchor>
    <xdr:from>
      <xdr:col>24</xdr:col>
      <xdr:colOff>47625</xdr:colOff>
      <xdr:row>55</xdr:row>
      <xdr:rowOff>47625</xdr:rowOff>
    </xdr:from>
    <xdr:to>
      <xdr:col>26</xdr:col>
      <xdr:colOff>238125</xdr:colOff>
      <xdr:row>55</xdr:row>
      <xdr:rowOff>323850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7467600" y="10048875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  <xdr:twoCellAnchor>
    <xdr:from>
      <xdr:col>24</xdr:col>
      <xdr:colOff>47625</xdr:colOff>
      <xdr:row>56</xdr:row>
      <xdr:rowOff>47625</xdr:rowOff>
    </xdr:from>
    <xdr:to>
      <xdr:col>26</xdr:col>
      <xdr:colOff>238125</xdr:colOff>
      <xdr:row>56</xdr:row>
      <xdr:rowOff>323850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7467600" y="10048875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  <xdr:twoCellAnchor>
    <xdr:from>
      <xdr:col>24</xdr:col>
      <xdr:colOff>38100</xdr:colOff>
      <xdr:row>57</xdr:row>
      <xdr:rowOff>38100</xdr:rowOff>
    </xdr:from>
    <xdr:to>
      <xdr:col>26</xdr:col>
      <xdr:colOff>228600</xdr:colOff>
      <xdr:row>57</xdr:row>
      <xdr:rowOff>314325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6629400" y="13277850"/>
          <a:ext cx="742950" cy="2762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点击报工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17</xdr:col>
      <xdr:colOff>246333</xdr:colOff>
      <xdr:row>40</xdr:row>
      <xdr:rowOff>8664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361950"/>
          <a:ext cx="10533333" cy="688571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43</xdr:row>
          <xdr:rowOff>19050</xdr:rowOff>
        </xdr:from>
        <xdr:to>
          <xdr:col>2</xdr:col>
          <xdr:colOff>657225</xdr:colOff>
          <xdr:row>46</xdr:row>
          <xdr:rowOff>9525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7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43</xdr:row>
          <xdr:rowOff>19050</xdr:rowOff>
        </xdr:from>
        <xdr:to>
          <xdr:col>5</xdr:col>
          <xdr:colOff>533400</xdr:colOff>
          <xdr:row>46</xdr:row>
          <xdr:rowOff>9525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7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53</xdr:row>
      <xdr:rowOff>0</xdr:rowOff>
    </xdr:from>
    <xdr:to>
      <xdr:col>18</xdr:col>
      <xdr:colOff>446247</xdr:colOff>
      <xdr:row>84</xdr:row>
      <xdr:rowOff>18346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9410700"/>
          <a:ext cx="11419047" cy="56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1050">
            <a:latin typeface="微软雅黑" panose="020B0503020204020204" pitchFamily="34" charset="-122"/>
            <a:ea typeface="微软雅黑" panose="020B0503020204020204" pitchFamily="34" charset="-122"/>
          </a:defRPr>
        </a:defPPr>
      </a:lstStyle>
      <a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a:style>
    </a:spDef>
    <a:lnDef>
      <a:spPr>
        <a:ln>
          <a:solidFill>
            <a:schemeClr val="tx1">
              <a:lumMod val="85000"/>
              <a:lumOff val="15000"/>
            </a:schemeClr>
          </a:solidFill>
          <a:tailEnd type="stealth" w="lg" len="lg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5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80"/>
  <sheetViews>
    <sheetView showGridLines="0" workbookViewId="0">
      <selection activeCell="AA79" sqref="AA79"/>
    </sheetView>
  </sheetViews>
  <sheetFormatPr defaultColWidth="2.625" defaultRowHeight="16.5"/>
  <cols>
    <col min="1" max="1" width="1.125" style="1" customWidth="1"/>
    <col min="2" max="2" width="1.625" style="1" customWidth="1"/>
    <col min="3" max="16384" width="2.625" style="1"/>
  </cols>
  <sheetData>
    <row r="2" spans="3:6">
      <c r="C2" s="1" t="s">
        <v>17</v>
      </c>
    </row>
    <row r="3" spans="3:6">
      <c r="C3" s="4" t="s">
        <v>27</v>
      </c>
    </row>
    <row r="4" spans="3:6">
      <c r="C4" s="4"/>
    </row>
    <row r="5" spans="3:6">
      <c r="C5" s="4"/>
    </row>
    <row r="6" spans="3:6" ht="18">
      <c r="C6" s="3" t="s">
        <v>0</v>
      </c>
    </row>
    <row r="7" spans="3:6">
      <c r="D7" s="1" t="s">
        <v>1</v>
      </c>
    </row>
    <row r="8" spans="3:6">
      <c r="D8" s="1" t="s">
        <v>2</v>
      </c>
    </row>
    <row r="9" spans="3:6">
      <c r="E9" s="1" t="s">
        <v>3</v>
      </c>
    </row>
    <row r="10" spans="3:6">
      <c r="E10" s="1" t="s">
        <v>4</v>
      </c>
    </row>
    <row r="11" spans="3:6">
      <c r="F11" s="1" t="s">
        <v>18</v>
      </c>
    </row>
    <row r="12" spans="3:6">
      <c r="E12" s="1" t="s">
        <v>5</v>
      </c>
    </row>
    <row r="13" spans="3:6">
      <c r="F13" s="1" t="s">
        <v>19</v>
      </c>
    </row>
    <row r="15" spans="3:6" ht="18">
      <c r="C15" s="3" t="s">
        <v>6</v>
      </c>
    </row>
    <row r="16" spans="3:6">
      <c r="D16" s="2" t="s">
        <v>7</v>
      </c>
    </row>
    <row r="17" spans="4:5">
      <c r="E17" s="1" t="s">
        <v>8</v>
      </c>
    </row>
    <row r="19" spans="4:5">
      <c r="D19" s="2" t="s">
        <v>9</v>
      </c>
    </row>
    <row r="56" spans="4:6">
      <c r="D56" s="2" t="s">
        <v>10</v>
      </c>
    </row>
    <row r="57" spans="4:6">
      <c r="E57" s="1" t="s">
        <v>11</v>
      </c>
    </row>
    <row r="58" spans="4:6">
      <c r="F58" s="1" t="s">
        <v>24</v>
      </c>
    </row>
    <row r="59" spans="4:6">
      <c r="F59" s="1" t="s">
        <v>25</v>
      </c>
    </row>
    <row r="61" spans="4:6">
      <c r="E61" s="1" t="s">
        <v>12</v>
      </c>
    </row>
    <row r="62" spans="4:6">
      <c r="F62" s="2" t="s">
        <v>179</v>
      </c>
    </row>
    <row r="65" spans="5:7">
      <c r="E65" s="1" t="s">
        <v>13</v>
      </c>
    </row>
    <row r="66" spans="5:7">
      <c r="F66" s="1" t="s">
        <v>14</v>
      </c>
    </row>
    <row r="68" spans="5:7">
      <c r="F68" s="1" t="s">
        <v>26</v>
      </c>
    </row>
    <row r="72" spans="5:7">
      <c r="E72" s="1" t="s">
        <v>15</v>
      </c>
    </row>
    <row r="73" spans="5:7">
      <c r="F73" s="1" t="s">
        <v>16</v>
      </c>
    </row>
    <row r="74" spans="5:7">
      <c r="F74" s="2" t="s">
        <v>178</v>
      </c>
    </row>
    <row r="77" spans="5:7">
      <c r="E77" s="1" t="s">
        <v>20</v>
      </c>
    </row>
    <row r="78" spans="5:7">
      <c r="F78" s="1" t="s">
        <v>21</v>
      </c>
    </row>
    <row r="79" spans="5:7">
      <c r="G79" s="1" t="s">
        <v>22</v>
      </c>
    </row>
    <row r="80" spans="5:7">
      <c r="G80" s="1" t="s">
        <v>23</v>
      </c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AH33"/>
  <sheetViews>
    <sheetView showGridLines="0" workbookViewId="0">
      <selection activeCell="T38" sqref="T38"/>
    </sheetView>
  </sheetViews>
  <sheetFormatPr defaultColWidth="3.25" defaultRowHeight="16.5"/>
  <cols>
    <col min="1" max="1" width="0.875" style="7" customWidth="1"/>
    <col min="2" max="3" width="1.25" style="7" customWidth="1"/>
    <col min="4" max="4" width="1.75" style="7" customWidth="1"/>
    <col min="5" max="13" width="3.25" style="7"/>
    <col min="14" max="14" width="3.5" style="7" bestFit="1" customWidth="1"/>
    <col min="15" max="15" width="4.5" style="7" bestFit="1" customWidth="1"/>
    <col min="16" max="16" width="3.25" style="7"/>
    <col min="17" max="17" width="3.5" style="7" bestFit="1" customWidth="1"/>
    <col min="18" max="21" width="3.25" style="7"/>
    <col min="22" max="22" width="3.5" style="7" bestFit="1" customWidth="1"/>
    <col min="23" max="23" width="3.25" style="7"/>
    <col min="24" max="24" width="3.5" style="7" bestFit="1" customWidth="1"/>
    <col min="25" max="28" width="3.25" style="7"/>
    <col min="29" max="29" width="14.25" style="7" bestFit="1" customWidth="1"/>
    <col min="30" max="33" width="3.25" style="7"/>
    <col min="34" max="34" width="0.75" style="7" customWidth="1"/>
    <col min="35" max="16384" width="3.25" style="7"/>
  </cols>
  <sheetData>
    <row r="2" spans="4:34" ht="5.25" customHeight="1">
      <c r="D2" s="82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4"/>
    </row>
    <row r="3" spans="4:34" ht="27.75">
      <c r="D3" s="61"/>
      <c r="E3" s="85" t="s">
        <v>30</v>
      </c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63"/>
    </row>
    <row r="4" spans="4:34" ht="6.75" customHeight="1">
      <c r="D4" s="61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63"/>
    </row>
    <row r="5" spans="4:34" ht="6.75" customHeight="1">
      <c r="D5" s="61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63"/>
    </row>
    <row r="6" spans="4:34">
      <c r="D6" s="61"/>
      <c r="E6" s="8" t="s">
        <v>28</v>
      </c>
      <c r="F6" s="8"/>
      <c r="G6" s="8"/>
      <c r="H6" s="8"/>
      <c r="I6" s="8"/>
      <c r="J6" s="8"/>
      <c r="K6" s="8"/>
      <c r="L6" s="8" t="s">
        <v>29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63"/>
    </row>
    <row r="7" spans="4:34">
      <c r="D7" s="61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63"/>
    </row>
    <row r="8" spans="4:34">
      <c r="D8" s="61"/>
      <c r="E8" s="87" t="s">
        <v>51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63"/>
    </row>
    <row r="9" spans="4:34" ht="21" customHeight="1">
      <c r="D9" s="61"/>
      <c r="E9" s="15" t="s">
        <v>31</v>
      </c>
      <c r="F9" s="16"/>
      <c r="G9" s="16"/>
      <c r="H9" s="17"/>
      <c r="I9" s="15" t="s">
        <v>33</v>
      </c>
      <c r="J9" s="16"/>
      <c r="K9" s="16"/>
      <c r="L9" s="16"/>
      <c r="M9" s="17"/>
      <c r="N9" s="15" t="s">
        <v>39</v>
      </c>
      <c r="O9" s="16"/>
      <c r="P9" s="17"/>
      <c r="Q9" s="15" t="s">
        <v>37</v>
      </c>
      <c r="R9" s="17"/>
      <c r="S9" s="15" t="s">
        <v>43</v>
      </c>
      <c r="T9" s="16"/>
      <c r="U9" s="16"/>
      <c r="V9" s="18"/>
      <c r="W9" s="15" t="s">
        <v>40</v>
      </c>
      <c r="X9" s="16"/>
      <c r="Y9" s="17"/>
      <c r="Z9" s="15" t="s">
        <v>41</v>
      </c>
      <c r="AA9" s="16"/>
      <c r="AB9" s="17"/>
      <c r="AC9" s="16" t="s">
        <v>49</v>
      </c>
      <c r="AD9" s="16"/>
      <c r="AE9" s="15" t="s">
        <v>42</v>
      </c>
      <c r="AF9" s="16"/>
      <c r="AG9" s="18"/>
      <c r="AH9" s="63"/>
    </row>
    <row r="10" spans="4:34" ht="21" customHeight="1">
      <c r="D10" s="61"/>
      <c r="E10" s="10" t="s">
        <v>32</v>
      </c>
      <c r="F10" s="11"/>
      <c r="G10" s="11"/>
      <c r="H10" s="9"/>
      <c r="I10" s="12" t="s">
        <v>35</v>
      </c>
      <c r="J10" s="11"/>
      <c r="K10" s="11"/>
      <c r="L10" s="11"/>
      <c r="M10" s="9"/>
      <c r="N10" s="12"/>
      <c r="O10" s="11">
        <v>30</v>
      </c>
      <c r="P10" s="9"/>
      <c r="Q10" s="12">
        <v>1</v>
      </c>
      <c r="R10" s="9"/>
      <c r="S10" s="12"/>
      <c r="T10" s="11">
        <v>2</v>
      </c>
      <c r="U10" s="11"/>
      <c r="V10" s="9"/>
      <c r="W10" s="12"/>
      <c r="X10" s="11">
        <v>30</v>
      </c>
      <c r="Y10" s="9"/>
      <c r="Z10" s="19"/>
      <c r="AA10" s="20" t="s">
        <v>45</v>
      </c>
      <c r="AB10" s="14"/>
      <c r="AC10" s="27">
        <v>44426.395833333336</v>
      </c>
      <c r="AD10" s="28"/>
      <c r="AE10" s="13" t="s">
        <v>44</v>
      </c>
      <c r="AF10" s="11"/>
      <c r="AG10" s="9"/>
      <c r="AH10" s="63"/>
    </row>
    <row r="11" spans="4:34" ht="19.5" customHeight="1">
      <c r="D11" s="61"/>
      <c r="E11" s="10" t="s">
        <v>143</v>
      </c>
      <c r="F11" s="11"/>
      <c r="G11" s="11"/>
      <c r="H11" s="9"/>
      <c r="I11" s="12" t="s">
        <v>35</v>
      </c>
      <c r="J11" s="11"/>
      <c r="K11" s="11"/>
      <c r="L11" s="11"/>
      <c r="M11" s="9"/>
      <c r="N11" s="12"/>
      <c r="O11" s="11">
        <v>6</v>
      </c>
      <c r="P11" s="9"/>
      <c r="Q11" s="12">
        <v>1</v>
      </c>
      <c r="R11" s="9"/>
      <c r="S11" s="12"/>
      <c r="T11" s="11">
        <v>2</v>
      </c>
      <c r="U11" s="11"/>
      <c r="V11" s="9"/>
      <c r="W11" s="12"/>
      <c r="X11" s="11">
        <v>6</v>
      </c>
      <c r="Y11" s="9"/>
      <c r="Z11" s="19"/>
      <c r="AA11" s="20" t="s">
        <v>45</v>
      </c>
      <c r="AB11" s="14"/>
      <c r="AC11" s="27">
        <v>44426.399305555555</v>
      </c>
      <c r="AD11" s="28"/>
      <c r="AE11" s="13" t="s">
        <v>44</v>
      </c>
      <c r="AF11" s="11"/>
      <c r="AG11" s="9"/>
      <c r="AH11" s="63"/>
    </row>
    <row r="12" spans="4:34" ht="19.5" customHeight="1">
      <c r="D12" s="61"/>
      <c r="E12" s="10" t="s">
        <v>47</v>
      </c>
      <c r="F12" s="11"/>
      <c r="G12" s="11"/>
      <c r="H12" s="9"/>
      <c r="I12" s="12" t="s">
        <v>35</v>
      </c>
      <c r="J12" s="11"/>
      <c r="K12" s="11"/>
      <c r="L12" s="11"/>
      <c r="M12" s="9"/>
      <c r="N12" s="12"/>
      <c r="O12" s="11">
        <v>50</v>
      </c>
      <c r="P12" s="9"/>
      <c r="Q12" s="12">
        <v>2</v>
      </c>
      <c r="R12" s="9"/>
      <c r="S12" s="12"/>
      <c r="T12" s="11">
        <v>2</v>
      </c>
      <c r="U12" s="11"/>
      <c r="V12" s="9"/>
      <c r="W12" s="12"/>
      <c r="X12" s="11">
        <v>50</v>
      </c>
      <c r="Y12" s="9"/>
      <c r="Z12" s="19"/>
      <c r="AA12" s="20" t="s">
        <v>45</v>
      </c>
      <c r="AB12" s="14"/>
      <c r="AC12" s="27">
        <v>44426.415277777778</v>
      </c>
      <c r="AD12" s="28"/>
      <c r="AE12" s="13" t="s">
        <v>44</v>
      </c>
      <c r="AF12" s="11"/>
      <c r="AG12" s="9"/>
      <c r="AH12" s="63"/>
    </row>
    <row r="13" spans="4:34" ht="18.75" customHeight="1">
      <c r="D13" s="61"/>
      <c r="E13" s="10" t="s">
        <v>48</v>
      </c>
      <c r="F13" s="11"/>
      <c r="G13" s="11"/>
      <c r="H13" s="9"/>
      <c r="I13" s="12" t="s">
        <v>35</v>
      </c>
      <c r="J13" s="11"/>
      <c r="K13" s="11"/>
      <c r="L13" s="11"/>
      <c r="M13" s="9"/>
      <c r="N13" s="12"/>
      <c r="O13" s="11">
        <v>10</v>
      </c>
      <c r="P13" s="9"/>
      <c r="Q13" s="12">
        <v>1</v>
      </c>
      <c r="R13" s="9"/>
      <c r="S13" s="12"/>
      <c r="T13" s="11">
        <v>1</v>
      </c>
      <c r="U13" s="11"/>
      <c r="V13" s="9"/>
      <c r="W13" s="12"/>
      <c r="X13" s="11">
        <v>0</v>
      </c>
      <c r="Y13" s="9"/>
      <c r="Z13" s="24"/>
      <c r="AA13" s="25" t="s">
        <v>50</v>
      </c>
      <c r="AB13" s="26"/>
      <c r="AC13" s="28"/>
      <c r="AD13" s="28"/>
      <c r="AE13" s="13" t="s">
        <v>44</v>
      </c>
      <c r="AF13" s="11"/>
      <c r="AG13" s="9"/>
      <c r="AH13" s="63"/>
    </row>
    <row r="14" spans="4:34" ht="19.5" customHeight="1">
      <c r="D14" s="61"/>
      <c r="E14" s="10" t="s">
        <v>48</v>
      </c>
      <c r="F14" s="11"/>
      <c r="G14" s="11"/>
      <c r="H14" s="9"/>
      <c r="I14" s="12" t="s">
        <v>35</v>
      </c>
      <c r="J14" s="11"/>
      <c r="K14" s="11"/>
      <c r="L14" s="11"/>
      <c r="M14" s="9"/>
      <c r="N14" s="12"/>
      <c r="O14" s="11">
        <v>610</v>
      </c>
      <c r="P14" s="9"/>
      <c r="Q14" s="12">
        <v>11</v>
      </c>
      <c r="R14" s="9"/>
      <c r="S14" s="12"/>
      <c r="T14" s="11">
        <v>1</v>
      </c>
      <c r="U14" s="11"/>
      <c r="V14" s="9"/>
      <c r="W14" s="12"/>
      <c r="X14" s="11">
        <v>0</v>
      </c>
      <c r="Y14" s="9"/>
      <c r="Z14" s="12"/>
      <c r="AA14" s="11"/>
      <c r="AB14" s="9"/>
      <c r="AC14" s="11"/>
      <c r="AD14" s="11"/>
      <c r="AE14" s="13" t="s">
        <v>38</v>
      </c>
      <c r="AF14" s="11"/>
      <c r="AG14" s="9"/>
      <c r="AH14" s="63"/>
    </row>
    <row r="15" spans="4:34">
      <c r="D15" s="61"/>
      <c r="E15" s="10"/>
      <c r="F15" s="11"/>
      <c r="G15" s="11"/>
      <c r="H15" s="9"/>
      <c r="I15" s="12"/>
      <c r="J15" s="11"/>
      <c r="K15" s="11"/>
      <c r="L15" s="11"/>
      <c r="M15" s="9"/>
      <c r="N15" s="12"/>
      <c r="O15" s="11"/>
      <c r="P15" s="9"/>
      <c r="Q15" s="12"/>
      <c r="R15" s="9"/>
      <c r="S15" s="12"/>
      <c r="T15" s="11"/>
      <c r="U15" s="11"/>
      <c r="V15" s="9"/>
      <c r="W15" s="12"/>
      <c r="X15" s="11"/>
      <c r="Y15" s="9"/>
      <c r="Z15" s="12"/>
      <c r="AA15" s="11"/>
      <c r="AB15" s="9"/>
      <c r="AC15" s="11"/>
      <c r="AD15" s="11"/>
      <c r="AE15" s="13"/>
      <c r="AF15" s="11"/>
      <c r="AG15" s="9"/>
      <c r="AH15" s="63"/>
    </row>
    <row r="16" spans="4:34">
      <c r="D16" s="61"/>
      <c r="E16" s="10"/>
      <c r="F16" s="11"/>
      <c r="G16" s="11"/>
      <c r="H16" s="9"/>
      <c r="I16" s="12"/>
      <c r="J16" s="11"/>
      <c r="K16" s="11"/>
      <c r="L16" s="11"/>
      <c r="M16" s="9"/>
      <c r="N16" s="12"/>
      <c r="O16" s="11"/>
      <c r="P16" s="9"/>
      <c r="Q16" s="12"/>
      <c r="R16" s="9"/>
      <c r="S16" s="12"/>
      <c r="T16" s="11"/>
      <c r="U16" s="11"/>
      <c r="V16" s="9"/>
      <c r="W16" s="12"/>
      <c r="X16" s="11"/>
      <c r="Y16" s="9"/>
      <c r="Z16" s="12"/>
      <c r="AA16" s="11"/>
      <c r="AB16" s="9"/>
      <c r="AC16" s="11"/>
      <c r="AD16" s="11"/>
      <c r="AE16" s="13"/>
      <c r="AF16" s="11"/>
      <c r="AG16" s="9"/>
      <c r="AH16" s="63"/>
    </row>
    <row r="17" spans="4:34">
      <c r="D17" s="61"/>
      <c r="E17" s="10"/>
      <c r="F17" s="11"/>
      <c r="G17" s="11"/>
      <c r="H17" s="9"/>
      <c r="I17" s="12"/>
      <c r="J17" s="11"/>
      <c r="K17" s="11"/>
      <c r="L17" s="11"/>
      <c r="M17" s="9"/>
      <c r="N17" s="12"/>
      <c r="O17" s="11"/>
      <c r="P17" s="9"/>
      <c r="Q17" s="12"/>
      <c r="R17" s="9"/>
      <c r="S17" s="12"/>
      <c r="T17" s="11"/>
      <c r="U17" s="11"/>
      <c r="V17" s="9"/>
      <c r="W17" s="12"/>
      <c r="X17" s="11"/>
      <c r="Y17" s="9"/>
      <c r="Z17" s="12"/>
      <c r="AA17" s="11"/>
      <c r="AB17" s="9"/>
      <c r="AC17" s="11"/>
      <c r="AD17" s="11"/>
      <c r="AE17" s="13"/>
      <c r="AF17" s="11"/>
      <c r="AG17" s="9"/>
      <c r="AH17" s="63"/>
    </row>
    <row r="18" spans="4:34">
      <c r="D18" s="61"/>
      <c r="E18" s="10"/>
      <c r="F18" s="11"/>
      <c r="G18" s="11"/>
      <c r="H18" s="9"/>
      <c r="I18" s="12"/>
      <c r="J18" s="11"/>
      <c r="K18" s="11"/>
      <c r="L18" s="11"/>
      <c r="M18" s="9"/>
      <c r="N18" s="12"/>
      <c r="O18" s="11"/>
      <c r="P18" s="9"/>
      <c r="Q18" s="12"/>
      <c r="R18" s="9"/>
      <c r="S18" s="12"/>
      <c r="T18" s="11"/>
      <c r="U18" s="11"/>
      <c r="V18" s="9"/>
      <c r="W18" s="12"/>
      <c r="X18" s="11"/>
      <c r="Y18" s="9"/>
      <c r="Z18" s="12"/>
      <c r="AA18" s="11"/>
      <c r="AB18" s="9"/>
      <c r="AC18" s="11"/>
      <c r="AD18" s="11"/>
      <c r="AE18" s="13"/>
      <c r="AF18" s="11"/>
      <c r="AG18" s="9"/>
      <c r="AH18" s="63"/>
    </row>
    <row r="19" spans="4:34">
      <c r="D19" s="61"/>
      <c r="E19" s="10"/>
      <c r="F19" s="11"/>
      <c r="G19" s="11"/>
      <c r="H19" s="9"/>
      <c r="I19" s="12"/>
      <c r="J19" s="11"/>
      <c r="K19" s="11"/>
      <c r="L19" s="11"/>
      <c r="M19" s="9"/>
      <c r="N19" s="12"/>
      <c r="O19" s="11"/>
      <c r="P19" s="9"/>
      <c r="Q19" s="12"/>
      <c r="R19" s="9"/>
      <c r="S19" s="12"/>
      <c r="T19" s="11"/>
      <c r="U19" s="11"/>
      <c r="V19" s="9"/>
      <c r="W19" s="12"/>
      <c r="X19" s="11"/>
      <c r="Y19" s="9"/>
      <c r="Z19" s="12"/>
      <c r="AA19" s="11"/>
      <c r="AB19" s="9"/>
      <c r="AC19" s="11"/>
      <c r="AD19" s="11"/>
      <c r="AE19" s="13"/>
      <c r="AF19" s="11"/>
      <c r="AG19" s="9"/>
      <c r="AH19" s="63"/>
    </row>
    <row r="20" spans="4:34">
      <c r="D20" s="61"/>
      <c r="E20" s="10"/>
      <c r="F20" s="11"/>
      <c r="G20" s="11"/>
      <c r="H20" s="9"/>
      <c r="I20" s="12"/>
      <c r="J20" s="11"/>
      <c r="K20" s="11"/>
      <c r="L20" s="11"/>
      <c r="M20" s="9"/>
      <c r="N20" s="12"/>
      <c r="O20" s="11"/>
      <c r="P20" s="9"/>
      <c r="Q20" s="12"/>
      <c r="R20" s="9"/>
      <c r="S20" s="12"/>
      <c r="T20" s="11"/>
      <c r="U20" s="11"/>
      <c r="V20" s="9"/>
      <c r="W20" s="12"/>
      <c r="X20" s="11"/>
      <c r="Y20" s="9"/>
      <c r="Z20" s="12"/>
      <c r="AA20" s="11"/>
      <c r="AB20" s="9"/>
      <c r="AC20" s="11"/>
      <c r="AD20" s="11"/>
      <c r="AE20" s="13"/>
      <c r="AF20" s="11"/>
      <c r="AG20" s="9"/>
      <c r="AH20" s="63"/>
    </row>
    <row r="21" spans="4:34">
      <c r="D21" s="61"/>
      <c r="E21" s="10"/>
      <c r="F21" s="11"/>
      <c r="G21" s="11"/>
      <c r="H21" s="9"/>
      <c r="I21" s="12"/>
      <c r="J21" s="11"/>
      <c r="K21" s="11"/>
      <c r="L21" s="11"/>
      <c r="M21" s="9"/>
      <c r="N21" s="12"/>
      <c r="O21" s="11"/>
      <c r="P21" s="9"/>
      <c r="Q21" s="12"/>
      <c r="R21" s="9"/>
      <c r="S21" s="12"/>
      <c r="T21" s="11"/>
      <c r="U21" s="11"/>
      <c r="V21" s="9"/>
      <c r="W21" s="12"/>
      <c r="X21" s="11"/>
      <c r="Y21" s="9"/>
      <c r="Z21" s="12"/>
      <c r="AA21" s="11"/>
      <c r="AB21" s="9"/>
      <c r="AC21" s="11"/>
      <c r="AD21" s="11"/>
      <c r="AE21" s="13"/>
      <c r="AF21" s="11"/>
      <c r="AG21" s="9"/>
      <c r="AH21" s="63"/>
    </row>
    <row r="22" spans="4:34">
      <c r="D22" s="61"/>
      <c r="E22" s="10"/>
      <c r="F22" s="11"/>
      <c r="G22" s="11"/>
      <c r="H22" s="9"/>
      <c r="I22" s="12"/>
      <c r="J22" s="11"/>
      <c r="K22" s="11"/>
      <c r="L22" s="11"/>
      <c r="M22" s="9"/>
      <c r="N22" s="12"/>
      <c r="O22" s="11"/>
      <c r="P22" s="9"/>
      <c r="Q22" s="12"/>
      <c r="R22" s="9"/>
      <c r="S22" s="12"/>
      <c r="T22" s="11"/>
      <c r="U22" s="11"/>
      <c r="V22" s="9"/>
      <c r="W22" s="12"/>
      <c r="X22" s="11"/>
      <c r="Y22" s="9"/>
      <c r="Z22" s="12"/>
      <c r="AA22" s="11"/>
      <c r="AB22" s="9"/>
      <c r="AC22" s="11"/>
      <c r="AD22" s="11"/>
      <c r="AE22" s="13"/>
      <c r="AF22" s="11"/>
      <c r="AG22" s="9"/>
      <c r="AH22" s="63"/>
    </row>
    <row r="23" spans="4:34">
      <c r="D23" s="61"/>
      <c r="E23" s="10"/>
      <c r="F23" s="11"/>
      <c r="G23" s="11"/>
      <c r="H23" s="9"/>
      <c r="I23" s="12"/>
      <c r="J23" s="11"/>
      <c r="K23" s="11"/>
      <c r="L23" s="11"/>
      <c r="M23" s="9"/>
      <c r="N23" s="12"/>
      <c r="O23" s="11"/>
      <c r="P23" s="9"/>
      <c r="Q23" s="12"/>
      <c r="R23" s="9"/>
      <c r="S23" s="12"/>
      <c r="T23" s="11"/>
      <c r="U23" s="11"/>
      <c r="V23" s="9"/>
      <c r="W23" s="12"/>
      <c r="X23" s="11"/>
      <c r="Y23" s="9"/>
      <c r="Z23" s="12"/>
      <c r="AA23" s="11"/>
      <c r="AB23" s="9"/>
      <c r="AC23" s="11"/>
      <c r="AD23" s="11"/>
      <c r="AE23" s="13"/>
      <c r="AF23" s="11"/>
      <c r="AG23" s="9"/>
      <c r="AH23" s="63"/>
    </row>
    <row r="24" spans="4:34">
      <c r="D24" s="61"/>
      <c r="E24" s="10"/>
      <c r="F24" s="11"/>
      <c r="G24" s="11"/>
      <c r="H24" s="9"/>
      <c r="I24" s="12"/>
      <c r="J24" s="11"/>
      <c r="K24" s="11"/>
      <c r="L24" s="11"/>
      <c r="M24" s="9"/>
      <c r="N24" s="12"/>
      <c r="O24" s="11"/>
      <c r="P24" s="9"/>
      <c r="Q24" s="12"/>
      <c r="R24" s="9"/>
      <c r="S24" s="12"/>
      <c r="T24" s="11"/>
      <c r="U24" s="11"/>
      <c r="V24" s="9"/>
      <c r="W24" s="12"/>
      <c r="X24" s="11"/>
      <c r="Y24" s="9"/>
      <c r="Z24" s="12"/>
      <c r="AA24" s="11"/>
      <c r="AB24" s="9"/>
      <c r="AC24" s="11"/>
      <c r="AD24" s="11"/>
      <c r="AE24" s="13"/>
      <c r="AF24" s="11"/>
      <c r="AG24" s="9"/>
      <c r="AH24" s="63"/>
    </row>
    <row r="25" spans="4:34">
      <c r="D25" s="61"/>
      <c r="E25" s="10"/>
      <c r="F25" s="11"/>
      <c r="G25" s="11"/>
      <c r="H25" s="9"/>
      <c r="I25" s="12"/>
      <c r="J25" s="11"/>
      <c r="K25" s="11"/>
      <c r="L25" s="11"/>
      <c r="M25" s="9"/>
      <c r="N25" s="12"/>
      <c r="O25" s="11"/>
      <c r="P25" s="9"/>
      <c r="Q25" s="12"/>
      <c r="R25" s="9"/>
      <c r="S25" s="12"/>
      <c r="T25" s="11"/>
      <c r="U25" s="11"/>
      <c r="V25" s="9"/>
      <c r="W25" s="12"/>
      <c r="X25" s="11"/>
      <c r="Y25" s="9"/>
      <c r="Z25" s="12"/>
      <c r="AA25" s="11"/>
      <c r="AB25" s="9"/>
      <c r="AC25" s="11"/>
      <c r="AD25" s="11"/>
      <c r="AE25" s="13"/>
      <c r="AF25" s="11"/>
      <c r="AG25" s="9"/>
      <c r="AH25" s="63"/>
    </row>
    <row r="26" spans="4:34">
      <c r="D26" s="61"/>
      <c r="E26" s="10"/>
      <c r="F26" s="11"/>
      <c r="G26" s="11"/>
      <c r="H26" s="9"/>
      <c r="I26" s="12"/>
      <c r="J26" s="11"/>
      <c r="K26" s="11"/>
      <c r="L26" s="11"/>
      <c r="M26" s="9"/>
      <c r="N26" s="12"/>
      <c r="O26" s="11"/>
      <c r="P26" s="9"/>
      <c r="Q26" s="12"/>
      <c r="R26" s="9"/>
      <c r="S26" s="12"/>
      <c r="T26" s="11"/>
      <c r="U26" s="11"/>
      <c r="V26" s="9"/>
      <c r="W26" s="12"/>
      <c r="X26" s="11"/>
      <c r="Y26" s="9"/>
      <c r="Z26" s="12"/>
      <c r="AA26" s="11"/>
      <c r="AB26" s="9"/>
      <c r="AC26" s="11"/>
      <c r="AD26" s="11"/>
      <c r="AE26" s="13"/>
      <c r="AF26" s="11"/>
      <c r="AG26" s="9"/>
      <c r="AH26" s="63"/>
    </row>
    <row r="27" spans="4:34">
      <c r="D27" s="61"/>
      <c r="E27" s="10"/>
      <c r="F27" s="11"/>
      <c r="G27" s="11"/>
      <c r="H27" s="9"/>
      <c r="I27" s="12"/>
      <c r="J27" s="11"/>
      <c r="K27" s="11"/>
      <c r="L27" s="11"/>
      <c r="M27" s="9"/>
      <c r="N27" s="12"/>
      <c r="O27" s="11"/>
      <c r="P27" s="9"/>
      <c r="Q27" s="12"/>
      <c r="R27" s="9"/>
      <c r="S27" s="12"/>
      <c r="T27" s="11"/>
      <c r="U27" s="11"/>
      <c r="V27" s="9"/>
      <c r="W27" s="12"/>
      <c r="X27" s="11"/>
      <c r="Y27" s="9"/>
      <c r="Z27" s="12"/>
      <c r="AA27" s="11"/>
      <c r="AB27" s="9"/>
      <c r="AC27" s="11"/>
      <c r="AD27" s="11"/>
      <c r="AE27" s="13"/>
      <c r="AF27" s="11"/>
      <c r="AG27" s="9"/>
      <c r="AH27" s="63"/>
    </row>
    <row r="28" spans="4:34">
      <c r="D28" s="61"/>
      <c r="E28" s="10"/>
      <c r="F28" s="11"/>
      <c r="G28" s="11"/>
      <c r="H28" s="9"/>
      <c r="I28" s="12"/>
      <c r="J28" s="11"/>
      <c r="K28" s="11"/>
      <c r="L28" s="11"/>
      <c r="M28" s="9"/>
      <c r="N28" s="12"/>
      <c r="O28" s="11"/>
      <c r="P28" s="9"/>
      <c r="Q28" s="12"/>
      <c r="R28" s="9"/>
      <c r="S28" s="12"/>
      <c r="T28" s="11"/>
      <c r="U28" s="11"/>
      <c r="V28" s="9"/>
      <c r="W28" s="12"/>
      <c r="X28" s="11"/>
      <c r="Y28" s="9"/>
      <c r="Z28" s="12"/>
      <c r="AA28" s="11"/>
      <c r="AB28" s="9"/>
      <c r="AC28" s="11"/>
      <c r="AD28" s="11"/>
      <c r="AE28" s="13"/>
      <c r="AF28" s="11"/>
      <c r="AG28" s="9"/>
      <c r="AH28" s="63"/>
    </row>
    <row r="29" spans="4:34">
      <c r="D29" s="61"/>
      <c r="E29" s="10"/>
      <c r="F29" s="11"/>
      <c r="G29" s="11"/>
      <c r="H29" s="9"/>
      <c r="I29" s="12"/>
      <c r="J29" s="11"/>
      <c r="K29" s="11"/>
      <c r="L29" s="11"/>
      <c r="M29" s="9"/>
      <c r="N29" s="12"/>
      <c r="O29" s="11"/>
      <c r="P29" s="9"/>
      <c r="Q29" s="12"/>
      <c r="R29" s="9"/>
      <c r="S29" s="12"/>
      <c r="T29" s="11"/>
      <c r="U29" s="11"/>
      <c r="V29" s="9"/>
      <c r="W29" s="12"/>
      <c r="X29" s="11"/>
      <c r="Y29" s="9"/>
      <c r="Z29" s="12"/>
      <c r="AA29" s="11"/>
      <c r="AB29" s="9"/>
      <c r="AC29" s="11"/>
      <c r="AD29" s="11"/>
      <c r="AE29" s="13"/>
      <c r="AF29" s="11"/>
      <c r="AG29" s="9"/>
      <c r="AH29" s="63"/>
    </row>
    <row r="30" spans="4:34">
      <c r="D30" s="61"/>
      <c r="E30" s="10"/>
      <c r="F30" s="11"/>
      <c r="G30" s="11"/>
      <c r="H30" s="9"/>
      <c r="I30" s="12"/>
      <c r="J30" s="11"/>
      <c r="K30" s="11"/>
      <c r="L30" s="11"/>
      <c r="M30" s="9"/>
      <c r="N30" s="12"/>
      <c r="O30" s="11"/>
      <c r="P30" s="9"/>
      <c r="Q30" s="12"/>
      <c r="R30" s="9"/>
      <c r="S30" s="12"/>
      <c r="T30" s="11"/>
      <c r="U30" s="11"/>
      <c r="V30" s="9"/>
      <c r="W30" s="12"/>
      <c r="X30" s="11"/>
      <c r="Y30" s="9"/>
      <c r="Z30" s="12"/>
      <c r="AA30" s="11"/>
      <c r="AB30" s="9"/>
      <c r="AC30" s="11"/>
      <c r="AD30" s="11"/>
      <c r="AE30" s="13"/>
      <c r="AF30" s="11"/>
      <c r="AG30" s="9"/>
      <c r="AH30" s="63"/>
    </row>
    <row r="31" spans="4:34">
      <c r="D31" s="61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63"/>
    </row>
    <row r="32" spans="4:34">
      <c r="D32" s="61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63"/>
    </row>
    <row r="33" spans="4:34">
      <c r="D33" s="66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8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12"/>
  <sheetViews>
    <sheetView showGridLines="0" workbookViewId="0">
      <selection activeCell="N6" sqref="N6:N7"/>
    </sheetView>
  </sheetViews>
  <sheetFormatPr defaultRowHeight="16.5"/>
  <cols>
    <col min="1" max="1" width="2.375" style="5" customWidth="1"/>
    <col min="2" max="2" width="5.25" style="5" customWidth="1"/>
    <col min="3" max="3" width="13.875" style="5" customWidth="1"/>
    <col min="4" max="4" width="9" style="5"/>
    <col min="5" max="5" width="39.375" style="5" customWidth="1"/>
    <col min="6" max="6" width="7" style="5" customWidth="1"/>
    <col min="7" max="16384" width="9" style="5"/>
  </cols>
  <sheetData>
    <row r="3" spans="2:9" ht="19.5" customHeight="1">
      <c r="B3" s="62" t="s">
        <v>170</v>
      </c>
      <c r="C3" s="6"/>
      <c r="D3" s="6"/>
      <c r="E3" s="6"/>
      <c r="F3" s="6"/>
      <c r="G3" s="6"/>
      <c r="H3" s="6"/>
      <c r="I3" s="6"/>
    </row>
    <row r="4" spans="2:9" ht="24.75" customHeight="1">
      <c r="B4" s="78" t="s">
        <v>171</v>
      </c>
      <c r="C4" s="78" t="s">
        <v>172</v>
      </c>
      <c r="D4" s="78" t="s">
        <v>173</v>
      </c>
      <c r="E4" s="78" t="s">
        <v>174</v>
      </c>
      <c r="F4" s="78" t="s">
        <v>156</v>
      </c>
      <c r="G4" s="78" t="s">
        <v>157</v>
      </c>
      <c r="H4" s="78" t="s">
        <v>158</v>
      </c>
      <c r="I4" s="78" t="s">
        <v>181</v>
      </c>
    </row>
    <row r="5" spans="2:9" ht="25.5" customHeight="1">
      <c r="B5" s="79">
        <v>1</v>
      </c>
      <c r="C5" s="79" t="s">
        <v>154</v>
      </c>
      <c r="D5" s="79" t="s">
        <v>159</v>
      </c>
      <c r="E5" s="79" t="s">
        <v>155</v>
      </c>
      <c r="F5" s="80" t="s">
        <v>175</v>
      </c>
      <c r="G5" s="80"/>
      <c r="H5" s="80"/>
      <c r="I5" s="80">
        <v>2</v>
      </c>
    </row>
    <row r="6" spans="2:9" ht="25.5" customHeight="1">
      <c r="B6" s="79">
        <v>2</v>
      </c>
      <c r="C6" s="79" t="s">
        <v>160</v>
      </c>
      <c r="D6" s="79" t="s">
        <v>159</v>
      </c>
      <c r="E6" s="79" t="s">
        <v>161</v>
      </c>
      <c r="F6" s="80"/>
      <c r="G6" s="80" t="s">
        <v>175</v>
      </c>
      <c r="H6" s="80"/>
      <c r="I6" s="80">
        <v>1</v>
      </c>
    </row>
    <row r="7" spans="2:9" ht="25.5" customHeight="1">
      <c r="B7" s="79">
        <v>3</v>
      </c>
      <c r="C7" s="79" t="s">
        <v>162</v>
      </c>
      <c r="D7" s="79" t="s">
        <v>163</v>
      </c>
      <c r="E7" s="79" t="s">
        <v>167</v>
      </c>
      <c r="F7" s="80"/>
      <c r="G7" s="80" t="s">
        <v>175</v>
      </c>
      <c r="H7" s="80"/>
      <c r="I7" s="80">
        <v>5</v>
      </c>
    </row>
    <row r="8" spans="2:9" ht="25.5" customHeight="1">
      <c r="B8" s="79">
        <v>4</v>
      </c>
      <c r="C8" s="79" t="s">
        <v>151</v>
      </c>
      <c r="D8" s="79" t="s">
        <v>163</v>
      </c>
      <c r="E8" s="79" t="s">
        <v>166</v>
      </c>
      <c r="F8" s="80" t="s">
        <v>175</v>
      </c>
      <c r="G8" s="80" t="s">
        <v>175</v>
      </c>
      <c r="H8" s="80"/>
      <c r="I8" s="80">
        <v>7</v>
      </c>
    </row>
    <row r="9" spans="2:9" ht="25.5" customHeight="1">
      <c r="B9" s="79">
        <v>5</v>
      </c>
      <c r="C9" s="79" t="s">
        <v>164</v>
      </c>
      <c r="D9" s="79" t="s">
        <v>163</v>
      </c>
      <c r="E9" s="79" t="s">
        <v>165</v>
      </c>
      <c r="F9" s="80" t="s">
        <v>175</v>
      </c>
      <c r="G9" s="80"/>
      <c r="H9" s="80"/>
      <c r="I9" s="80">
        <v>8</v>
      </c>
    </row>
    <row r="10" spans="2:9" ht="25.5" customHeight="1">
      <c r="B10" s="79">
        <v>6</v>
      </c>
      <c r="C10" s="79" t="s">
        <v>176</v>
      </c>
      <c r="D10" s="79" t="s">
        <v>163</v>
      </c>
      <c r="E10" s="79" t="s">
        <v>177</v>
      </c>
      <c r="F10" s="80" t="s">
        <v>175</v>
      </c>
      <c r="G10" s="80" t="s">
        <v>175</v>
      </c>
      <c r="H10" s="80"/>
      <c r="I10" s="80">
        <v>3</v>
      </c>
    </row>
    <row r="11" spans="2:9" ht="23.25" customHeight="1">
      <c r="B11" s="79">
        <v>6</v>
      </c>
      <c r="C11" s="79" t="s">
        <v>168</v>
      </c>
      <c r="D11" s="79" t="s">
        <v>163</v>
      </c>
      <c r="E11" s="79" t="s">
        <v>169</v>
      </c>
      <c r="F11" s="80" t="s">
        <v>175</v>
      </c>
      <c r="G11" s="80" t="s">
        <v>175</v>
      </c>
      <c r="H11" s="80"/>
      <c r="I11" s="80">
        <v>3</v>
      </c>
    </row>
    <row r="12" spans="2:9">
      <c r="I12" s="5">
        <f>SUM(I5:I11)</f>
        <v>29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N46" sqref="N46"/>
    </sheetView>
  </sheetViews>
  <sheetFormatPr defaultRowHeight="14.25"/>
  <cols>
    <col min="1" max="1" width="2.75" customWidth="1"/>
    <col min="2" max="2" width="4" customWidth="1"/>
  </cols>
  <sheetData/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V33"/>
  <sheetViews>
    <sheetView showGridLines="0" zoomScaleNormal="100" workbookViewId="0">
      <selection activeCell="J21" sqref="J21"/>
    </sheetView>
  </sheetViews>
  <sheetFormatPr defaultRowHeight="16.5"/>
  <cols>
    <col min="1" max="1" width="1.75" style="5" customWidth="1"/>
    <col min="2" max="2" width="4.375" style="5" customWidth="1"/>
    <col min="3" max="6" width="9" style="5"/>
    <col min="7" max="7" width="14.5" style="5" customWidth="1"/>
    <col min="8" max="11" width="9" style="5"/>
    <col min="12" max="12" width="11.25" style="5" bestFit="1" customWidth="1"/>
    <col min="13" max="13" width="9" style="5"/>
    <col min="14" max="14" width="12.75" style="5" customWidth="1"/>
    <col min="15" max="16" width="9" style="5"/>
    <col min="17" max="17" width="12.75" style="5" bestFit="1" customWidth="1"/>
    <col min="18" max="18" width="16.875" style="5" bestFit="1" customWidth="1"/>
    <col min="19" max="19" width="2.375" style="5" bestFit="1" customWidth="1"/>
    <col min="20" max="20" width="5.125" style="5" bestFit="1" customWidth="1"/>
    <col min="21" max="16384" width="9" style="5"/>
  </cols>
  <sheetData>
    <row r="2" spans="2:22">
      <c r="B2" s="5" t="s">
        <v>113</v>
      </c>
    </row>
    <row r="3" spans="2:22">
      <c r="C3" s="56" t="s">
        <v>114</v>
      </c>
      <c r="G3" s="91" t="s">
        <v>211</v>
      </c>
    </row>
    <row r="4" spans="2:22">
      <c r="C4" s="56" t="s">
        <v>115</v>
      </c>
    </row>
    <row r="5" spans="2:22">
      <c r="B5" s="29" t="s">
        <v>53</v>
      </c>
      <c r="C5" s="30" t="s">
        <v>54</v>
      </c>
      <c r="D5" s="31"/>
      <c r="E5" s="30" t="s">
        <v>55</v>
      </c>
      <c r="F5" s="32"/>
      <c r="G5" s="33" t="s">
        <v>56</v>
      </c>
      <c r="H5" s="33" t="s">
        <v>57</v>
      </c>
      <c r="I5" s="33" t="s">
        <v>58</v>
      </c>
      <c r="J5" s="33" t="s">
        <v>59</v>
      </c>
      <c r="K5" s="33" t="s">
        <v>60</v>
      </c>
      <c r="L5" s="33" t="s">
        <v>61</v>
      </c>
      <c r="M5" s="30" t="s">
        <v>62</v>
      </c>
      <c r="N5" s="34"/>
    </row>
    <row r="6" spans="2:22">
      <c r="B6" s="35"/>
      <c r="C6" s="36"/>
      <c r="D6" s="37"/>
      <c r="E6" s="36"/>
      <c r="F6" s="38"/>
      <c r="G6" s="37"/>
      <c r="H6" s="37"/>
      <c r="I6" s="37" t="s">
        <v>63</v>
      </c>
      <c r="J6" s="37" t="s">
        <v>64</v>
      </c>
      <c r="K6" s="37"/>
      <c r="L6" s="37" t="s">
        <v>65</v>
      </c>
      <c r="M6" s="36"/>
      <c r="N6" s="39"/>
      <c r="P6" s="5" t="s">
        <v>230</v>
      </c>
      <c r="R6" s="5" t="s">
        <v>210</v>
      </c>
      <c r="S6" s="5" t="s">
        <v>241</v>
      </c>
    </row>
    <row r="7" spans="2:22">
      <c r="B7" s="40">
        <f t="shared" ref="B7:B29" si="0">ROW()-7</f>
        <v>0</v>
      </c>
      <c r="C7" s="41" t="s">
        <v>89</v>
      </c>
      <c r="D7" s="42"/>
      <c r="E7" s="41" t="s">
        <v>88</v>
      </c>
      <c r="F7" s="42"/>
      <c r="G7" s="43" t="s">
        <v>71</v>
      </c>
      <c r="H7" s="44">
        <v>8</v>
      </c>
      <c r="I7" s="53" t="s">
        <v>67</v>
      </c>
      <c r="J7" s="54" t="s">
        <v>70</v>
      </c>
      <c r="K7" s="45"/>
      <c r="L7" s="45"/>
      <c r="M7" s="92" t="s">
        <v>72</v>
      </c>
      <c r="N7" s="93"/>
      <c r="Q7" s="5" t="s">
        <v>231</v>
      </c>
      <c r="R7" s="5" t="s">
        <v>237</v>
      </c>
      <c r="S7" s="5" t="s">
        <v>241</v>
      </c>
      <c r="T7" s="5">
        <v>8</v>
      </c>
      <c r="U7" s="5" t="s">
        <v>242</v>
      </c>
      <c r="V7" s="5" t="s">
        <v>243</v>
      </c>
    </row>
    <row r="8" spans="2:22">
      <c r="B8" s="40">
        <f t="shared" si="0"/>
        <v>1</v>
      </c>
      <c r="C8" s="41" t="s">
        <v>90</v>
      </c>
      <c r="D8" s="42"/>
      <c r="E8" s="89" t="s">
        <v>183</v>
      </c>
      <c r="F8" s="90"/>
      <c r="G8" s="43" t="s">
        <v>69</v>
      </c>
      <c r="H8" s="44">
        <v>20</v>
      </c>
      <c r="I8" s="53"/>
      <c r="J8" s="54" t="s">
        <v>68</v>
      </c>
      <c r="K8" s="49"/>
      <c r="L8" s="49"/>
      <c r="M8" s="50" t="s">
        <v>84</v>
      </c>
      <c r="N8" s="42"/>
      <c r="Q8" s="5" t="s">
        <v>182</v>
      </c>
      <c r="R8" s="5" t="s">
        <v>238</v>
      </c>
      <c r="S8" s="5" t="s">
        <v>241</v>
      </c>
      <c r="T8" s="5">
        <v>20</v>
      </c>
      <c r="U8" s="5" t="s">
        <v>242</v>
      </c>
      <c r="V8" s="5" t="s">
        <v>243</v>
      </c>
    </row>
    <row r="9" spans="2:22">
      <c r="B9" s="40">
        <f t="shared" si="0"/>
        <v>2</v>
      </c>
      <c r="C9" s="47" t="s">
        <v>73</v>
      </c>
      <c r="D9" s="42"/>
      <c r="E9" s="89" t="s">
        <v>185</v>
      </c>
      <c r="F9" s="90"/>
      <c r="G9" s="43" t="s">
        <v>69</v>
      </c>
      <c r="H9" s="44">
        <v>30</v>
      </c>
      <c r="I9" s="54"/>
      <c r="J9" s="54"/>
      <c r="K9" s="49"/>
      <c r="L9" s="49"/>
      <c r="M9" s="52" t="s">
        <v>107</v>
      </c>
      <c r="N9" s="48"/>
      <c r="Q9" s="5" t="s">
        <v>184</v>
      </c>
      <c r="R9" s="5" t="s">
        <v>238</v>
      </c>
      <c r="S9" s="5" t="s">
        <v>241</v>
      </c>
      <c r="T9" s="5">
        <v>30</v>
      </c>
      <c r="U9" s="5" t="s">
        <v>242</v>
      </c>
      <c r="V9" s="5" t="s">
        <v>245</v>
      </c>
    </row>
    <row r="10" spans="2:22">
      <c r="B10" s="40">
        <f t="shared" si="0"/>
        <v>3</v>
      </c>
      <c r="C10" s="47" t="s">
        <v>94</v>
      </c>
      <c r="D10" s="42"/>
      <c r="E10" s="89" t="s">
        <v>187</v>
      </c>
      <c r="F10" s="90"/>
      <c r="G10" s="43" t="s">
        <v>69</v>
      </c>
      <c r="H10" s="44">
        <v>30</v>
      </c>
      <c r="I10" s="55"/>
      <c r="J10" s="54"/>
      <c r="K10" s="49"/>
      <c r="L10" s="49"/>
      <c r="M10" s="52" t="s">
        <v>108</v>
      </c>
      <c r="N10" s="48"/>
      <c r="Q10" s="5" t="s">
        <v>186</v>
      </c>
      <c r="R10" s="5" t="s">
        <v>238</v>
      </c>
      <c r="S10" s="5" t="s">
        <v>241</v>
      </c>
      <c r="T10" s="5">
        <v>30</v>
      </c>
      <c r="U10" s="5" t="s">
        <v>242</v>
      </c>
      <c r="V10" s="5" t="s">
        <v>245</v>
      </c>
    </row>
    <row r="11" spans="2:22">
      <c r="B11" s="40">
        <f t="shared" si="0"/>
        <v>4</v>
      </c>
      <c r="C11" s="47" t="s">
        <v>92</v>
      </c>
      <c r="D11" s="42"/>
      <c r="E11" s="89" t="s">
        <v>189</v>
      </c>
      <c r="F11" s="90"/>
      <c r="G11" s="43" t="s">
        <v>66</v>
      </c>
      <c r="H11" s="44">
        <v>10</v>
      </c>
      <c r="I11" s="55"/>
      <c r="J11" s="54" t="s">
        <v>68</v>
      </c>
      <c r="K11" s="49"/>
      <c r="L11" s="49"/>
      <c r="M11" s="52" t="s">
        <v>106</v>
      </c>
      <c r="N11" s="48"/>
      <c r="Q11" s="5" t="s">
        <v>188</v>
      </c>
      <c r="R11" s="5" t="s">
        <v>237</v>
      </c>
      <c r="S11" s="5" t="s">
        <v>241</v>
      </c>
      <c r="T11" s="5">
        <v>10</v>
      </c>
      <c r="U11" s="5" t="s">
        <v>242</v>
      </c>
      <c r="V11" s="5" t="s">
        <v>243</v>
      </c>
    </row>
    <row r="12" spans="2:22">
      <c r="B12" s="40">
        <f t="shared" si="0"/>
        <v>5</v>
      </c>
      <c r="C12" s="47" t="s">
        <v>96</v>
      </c>
      <c r="D12" s="42"/>
      <c r="E12" s="89" t="s">
        <v>191</v>
      </c>
      <c r="F12" s="90"/>
      <c r="G12" s="43" t="s">
        <v>66</v>
      </c>
      <c r="H12" s="44">
        <v>10</v>
      </c>
      <c r="I12" s="55"/>
      <c r="J12" s="54"/>
      <c r="K12" s="49"/>
      <c r="L12" s="49"/>
      <c r="M12" s="52" t="s">
        <v>104</v>
      </c>
      <c r="N12" s="48"/>
      <c r="Q12" s="5" t="s">
        <v>190</v>
      </c>
      <c r="R12" s="5" t="s">
        <v>237</v>
      </c>
      <c r="S12" s="5" t="s">
        <v>241</v>
      </c>
      <c r="T12" s="5">
        <v>10</v>
      </c>
      <c r="U12" s="5" t="s">
        <v>242</v>
      </c>
      <c r="V12" s="5" t="s">
        <v>245</v>
      </c>
    </row>
    <row r="13" spans="2:22">
      <c r="B13" s="40">
        <f t="shared" si="0"/>
        <v>6</v>
      </c>
      <c r="C13" s="47" t="s">
        <v>97</v>
      </c>
      <c r="D13" s="48"/>
      <c r="E13" s="89" t="s">
        <v>193</v>
      </c>
      <c r="F13" s="90"/>
      <c r="G13" s="43" t="s">
        <v>66</v>
      </c>
      <c r="H13" s="44">
        <v>10</v>
      </c>
      <c r="I13" s="55"/>
      <c r="J13" s="54"/>
      <c r="K13" s="49"/>
      <c r="L13" s="49"/>
      <c r="M13" s="52" t="s">
        <v>105</v>
      </c>
      <c r="N13" s="48"/>
      <c r="Q13" s="5" t="s">
        <v>192</v>
      </c>
      <c r="R13" s="5" t="s">
        <v>237</v>
      </c>
      <c r="S13" s="5" t="s">
        <v>241</v>
      </c>
      <c r="T13" s="5">
        <v>10</v>
      </c>
      <c r="U13" s="5" t="s">
        <v>242</v>
      </c>
      <c r="V13" s="5" t="s">
        <v>245</v>
      </c>
    </row>
    <row r="14" spans="2:22">
      <c r="B14" s="40">
        <f t="shared" si="0"/>
        <v>7</v>
      </c>
      <c r="C14" s="47" t="s">
        <v>98</v>
      </c>
      <c r="D14" s="48"/>
      <c r="E14" s="89" t="s">
        <v>195</v>
      </c>
      <c r="F14" s="90"/>
      <c r="G14" s="43" t="s">
        <v>66</v>
      </c>
      <c r="H14" s="44">
        <v>10</v>
      </c>
      <c r="I14" s="55"/>
      <c r="J14" s="54"/>
      <c r="K14" s="49"/>
      <c r="L14" s="49"/>
      <c r="M14" s="52" t="s">
        <v>103</v>
      </c>
      <c r="N14" s="48"/>
      <c r="Q14" s="5" t="s">
        <v>194</v>
      </c>
      <c r="R14" s="5" t="s">
        <v>237</v>
      </c>
      <c r="S14" s="5" t="s">
        <v>241</v>
      </c>
      <c r="T14" s="5">
        <v>10</v>
      </c>
      <c r="U14" s="5" t="s">
        <v>242</v>
      </c>
      <c r="V14" s="5" t="s">
        <v>245</v>
      </c>
    </row>
    <row r="15" spans="2:22">
      <c r="B15" s="40">
        <f t="shared" si="0"/>
        <v>8</v>
      </c>
      <c r="C15" s="47" t="s">
        <v>37</v>
      </c>
      <c r="D15" s="48"/>
      <c r="E15" s="89" t="s">
        <v>197</v>
      </c>
      <c r="F15" s="90"/>
      <c r="G15" s="43" t="s">
        <v>66</v>
      </c>
      <c r="H15" s="44">
        <v>10</v>
      </c>
      <c r="I15" s="55"/>
      <c r="J15" s="54"/>
      <c r="K15" s="49"/>
      <c r="L15" s="49"/>
      <c r="M15" s="52" t="s">
        <v>102</v>
      </c>
      <c r="N15" s="48"/>
      <c r="Q15" s="5" t="s">
        <v>196</v>
      </c>
      <c r="R15" s="5" t="s">
        <v>237</v>
      </c>
      <c r="S15" s="5" t="s">
        <v>241</v>
      </c>
      <c r="T15" s="5">
        <v>10</v>
      </c>
      <c r="U15" s="5" t="s">
        <v>242</v>
      </c>
      <c r="V15" s="5" t="s">
        <v>245</v>
      </c>
    </row>
    <row r="16" spans="2:22">
      <c r="B16" s="40">
        <f t="shared" si="0"/>
        <v>9</v>
      </c>
      <c r="C16" s="47" t="s">
        <v>95</v>
      </c>
      <c r="D16" s="48"/>
      <c r="E16" s="89" t="s">
        <v>199</v>
      </c>
      <c r="F16" s="90"/>
      <c r="G16" s="43" t="s">
        <v>69</v>
      </c>
      <c r="H16" s="44">
        <v>10</v>
      </c>
      <c r="I16" s="55"/>
      <c r="J16" s="54"/>
      <c r="K16" s="49"/>
      <c r="L16" s="49"/>
      <c r="M16" s="52" t="s">
        <v>99</v>
      </c>
      <c r="N16" s="48"/>
      <c r="Q16" s="5" t="s">
        <v>198</v>
      </c>
      <c r="R16" s="5" t="s">
        <v>238</v>
      </c>
      <c r="S16" s="5" t="s">
        <v>241</v>
      </c>
      <c r="T16" s="5">
        <v>10</v>
      </c>
      <c r="U16" s="5" t="s">
        <v>242</v>
      </c>
      <c r="V16" s="5" t="s">
        <v>245</v>
      </c>
    </row>
    <row r="17" spans="2:22">
      <c r="B17" s="40">
        <f t="shared" si="0"/>
        <v>10</v>
      </c>
      <c r="C17" s="47" t="s">
        <v>100</v>
      </c>
      <c r="D17" s="48"/>
      <c r="E17" s="89" t="s">
        <v>201</v>
      </c>
      <c r="F17" s="90"/>
      <c r="G17" s="43" t="s">
        <v>69</v>
      </c>
      <c r="H17" s="44">
        <v>10</v>
      </c>
      <c r="I17" s="55"/>
      <c r="J17" s="54"/>
      <c r="K17" s="49"/>
      <c r="L17" s="49"/>
      <c r="M17" s="52" t="s">
        <v>101</v>
      </c>
      <c r="N17" s="48"/>
      <c r="Q17" s="5" t="s">
        <v>200</v>
      </c>
      <c r="R17" s="5" t="s">
        <v>238</v>
      </c>
      <c r="S17" s="5" t="s">
        <v>241</v>
      </c>
      <c r="T17" s="5">
        <v>10</v>
      </c>
      <c r="U17" s="5" t="s">
        <v>242</v>
      </c>
      <c r="V17" s="5" t="s">
        <v>245</v>
      </c>
    </row>
    <row r="18" spans="2:22">
      <c r="B18" s="40">
        <f t="shared" si="0"/>
        <v>11</v>
      </c>
      <c r="C18" s="47" t="s">
        <v>134</v>
      </c>
      <c r="D18" s="48"/>
      <c r="E18" s="89" t="s">
        <v>203</v>
      </c>
      <c r="F18" s="90"/>
      <c r="G18" s="43" t="s">
        <v>66</v>
      </c>
      <c r="H18" s="44">
        <v>10</v>
      </c>
      <c r="I18" s="55"/>
      <c r="J18" s="54"/>
      <c r="K18" s="49"/>
      <c r="L18" s="49"/>
      <c r="M18" s="52" t="s">
        <v>102</v>
      </c>
      <c r="N18" s="48"/>
      <c r="Q18" s="5" t="s">
        <v>202</v>
      </c>
      <c r="R18" s="5" t="s">
        <v>237</v>
      </c>
      <c r="S18" s="5" t="s">
        <v>241</v>
      </c>
      <c r="T18" s="5">
        <v>10</v>
      </c>
      <c r="U18" s="5" t="s">
        <v>242</v>
      </c>
      <c r="V18" s="5" t="s">
        <v>245</v>
      </c>
    </row>
    <row r="19" spans="2:22">
      <c r="B19" s="40">
        <f t="shared" si="0"/>
        <v>12</v>
      </c>
      <c r="C19" s="47" t="s">
        <v>41</v>
      </c>
      <c r="D19" s="48"/>
      <c r="E19" s="89" t="s">
        <v>205</v>
      </c>
      <c r="F19" s="90"/>
      <c r="G19" s="43" t="s">
        <v>69</v>
      </c>
      <c r="H19" s="44">
        <v>10</v>
      </c>
      <c r="I19" s="55"/>
      <c r="J19" s="54"/>
      <c r="K19" s="49"/>
      <c r="L19" s="49"/>
      <c r="M19" s="52" t="s">
        <v>116</v>
      </c>
      <c r="N19" s="48"/>
      <c r="Q19" s="5" t="s">
        <v>204</v>
      </c>
      <c r="R19" s="5" t="s">
        <v>238</v>
      </c>
      <c r="S19" s="5" t="s">
        <v>241</v>
      </c>
      <c r="T19" s="5">
        <v>10</v>
      </c>
      <c r="U19" s="5" t="s">
        <v>242</v>
      </c>
      <c r="V19" s="5" t="s">
        <v>245</v>
      </c>
    </row>
    <row r="20" spans="2:22">
      <c r="B20" s="40">
        <f t="shared" si="0"/>
        <v>13</v>
      </c>
      <c r="C20" s="47" t="s">
        <v>109</v>
      </c>
      <c r="D20" s="48"/>
      <c r="E20" s="89" t="s">
        <v>207</v>
      </c>
      <c r="F20" s="90"/>
      <c r="G20" s="43" t="s">
        <v>69</v>
      </c>
      <c r="H20" s="44">
        <v>100</v>
      </c>
      <c r="I20" s="55"/>
      <c r="J20" s="54"/>
      <c r="K20" s="49"/>
      <c r="L20" s="49"/>
      <c r="M20" s="52"/>
      <c r="N20" s="48"/>
      <c r="Q20" s="5" t="s">
        <v>206</v>
      </c>
      <c r="R20" s="5" t="s">
        <v>238</v>
      </c>
      <c r="S20" s="5" t="s">
        <v>241</v>
      </c>
      <c r="T20" s="5">
        <v>100</v>
      </c>
      <c r="U20" s="5" t="s">
        <v>242</v>
      </c>
      <c r="V20" s="5" t="s">
        <v>245</v>
      </c>
    </row>
    <row r="21" spans="2:22">
      <c r="B21" s="40">
        <f t="shared" si="0"/>
        <v>14</v>
      </c>
      <c r="C21" s="47" t="s">
        <v>110</v>
      </c>
      <c r="D21" s="48"/>
      <c r="E21" s="89" t="s">
        <v>208</v>
      </c>
      <c r="F21" s="90"/>
      <c r="G21" s="43" t="s">
        <v>69</v>
      </c>
      <c r="H21" s="44">
        <v>50</v>
      </c>
      <c r="I21" s="55"/>
      <c r="J21" s="54"/>
      <c r="K21" s="49"/>
      <c r="L21" s="49"/>
      <c r="M21" s="52"/>
      <c r="N21" s="48"/>
      <c r="Q21" s="5" t="s">
        <v>208</v>
      </c>
      <c r="R21" s="5" t="s">
        <v>238</v>
      </c>
      <c r="S21" s="5" t="s">
        <v>241</v>
      </c>
      <c r="T21" s="5">
        <v>50</v>
      </c>
      <c r="U21" s="5" t="s">
        <v>242</v>
      </c>
      <c r="V21" s="5" t="s">
        <v>245</v>
      </c>
    </row>
    <row r="22" spans="2:22">
      <c r="B22" s="40">
        <f t="shared" si="0"/>
        <v>15</v>
      </c>
      <c r="C22" s="47" t="s">
        <v>111</v>
      </c>
      <c r="D22" s="48"/>
      <c r="E22" s="89" t="s">
        <v>209</v>
      </c>
      <c r="F22" s="90"/>
      <c r="G22" s="43" t="s">
        <v>69</v>
      </c>
      <c r="H22" s="44">
        <v>50</v>
      </c>
      <c r="I22" s="55"/>
      <c r="J22" s="54"/>
      <c r="K22" s="49"/>
      <c r="L22" s="49"/>
      <c r="M22" s="52"/>
      <c r="N22" s="48"/>
      <c r="Q22" s="5" t="s">
        <v>209</v>
      </c>
      <c r="R22" s="5" t="s">
        <v>238</v>
      </c>
      <c r="S22" s="5" t="s">
        <v>241</v>
      </c>
      <c r="T22" s="5">
        <v>50</v>
      </c>
      <c r="U22" s="5" t="s">
        <v>242</v>
      </c>
      <c r="V22" s="5" t="s">
        <v>245</v>
      </c>
    </row>
    <row r="23" spans="2:22">
      <c r="B23" s="40">
        <f t="shared" si="0"/>
        <v>16</v>
      </c>
      <c r="C23" s="47" t="s">
        <v>75</v>
      </c>
      <c r="D23" s="48"/>
      <c r="E23" s="47" t="s">
        <v>76</v>
      </c>
      <c r="F23" s="48"/>
      <c r="G23" s="43" t="s">
        <v>74</v>
      </c>
      <c r="H23" s="44">
        <v>1</v>
      </c>
      <c r="I23" s="55"/>
      <c r="J23" s="54"/>
      <c r="K23" s="49"/>
      <c r="L23" s="49"/>
      <c r="M23" s="52" t="s">
        <v>85</v>
      </c>
      <c r="N23" s="48"/>
      <c r="Q23" s="5" t="s">
        <v>232</v>
      </c>
      <c r="R23" s="5" t="s">
        <v>239</v>
      </c>
      <c r="S23" s="5" t="s">
        <v>241</v>
      </c>
      <c r="T23" s="5">
        <v>1</v>
      </c>
      <c r="U23" s="5" t="s">
        <v>242</v>
      </c>
      <c r="V23" s="5" t="s">
        <v>245</v>
      </c>
    </row>
    <row r="24" spans="2:22">
      <c r="B24" s="40">
        <f t="shared" si="0"/>
        <v>17</v>
      </c>
      <c r="C24" s="47" t="s">
        <v>77</v>
      </c>
      <c r="D24" s="48"/>
      <c r="E24" s="47" t="s">
        <v>78</v>
      </c>
      <c r="F24" s="48"/>
      <c r="G24" s="43" t="s">
        <v>69</v>
      </c>
      <c r="H24" s="44">
        <v>20</v>
      </c>
      <c r="I24" s="55"/>
      <c r="J24" s="54"/>
      <c r="K24" s="49"/>
      <c r="L24" s="49"/>
      <c r="M24" s="52"/>
      <c r="N24" s="48"/>
      <c r="Q24" s="5" t="s">
        <v>233</v>
      </c>
      <c r="R24" s="5" t="s">
        <v>238</v>
      </c>
      <c r="S24" s="5" t="s">
        <v>241</v>
      </c>
      <c r="T24" s="5">
        <v>20</v>
      </c>
      <c r="U24" s="5" t="s">
        <v>242</v>
      </c>
      <c r="V24" s="5" t="s">
        <v>245</v>
      </c>
    </row>
    <row r="25" spans="2:22">
      <c r="B25" s="40">
        <f t="shared" si="0"/>
        <v>18</v>
      </c>
      <c r="C25" s="47" t="s">
        <v>86</v>
      </c>
      <c r="D25" s="48"/>
      <c r="E25" s="47" t="s">
        <v>79</v>
      </c>
      <c r="F25" s="48"/>
      <c r="G25" s="43" t="s">
        <v>80</v>
      </c>
      <c r="H25" s="44"/>
      <c r="I25" s="55"/>
      <c r="J25" s="54"/>
      <c r="K25" s="49"/>
      <c r="L25" s="49"/>
      <c r="M25" s="52"/>
      <c r="N25" s="48"/>
      <c r="Q25" s="5" t="s">
        <v>234</v>
      </c>
      <c r="R25" s="5" t="s">
        <v>240</v>
      </c>
      <c r="V25" s="5" t="s">
        <v>245</v>
      </c>
    </row>
    <row r="26" spans="2:22">
      <c r="B26" s="40">
        <f t="shared" si="0"/>
        <v>19</v>
      </c>
      <c r="C26" s="47" t="s">
        <v>81</v>
      </c>
      <c r="D26" s="48"/>
      <c r="E26" s="47" t="s">
        <v>82</v>
      </c>
      <c r="F26" s="48"/>
      <c r="G26" s="43" t="s">
        <v>69</v>
      </c>
      <c r="H26" s="44">
        <v>20</v>
      </c>
      <c r="I26" s="55"/>
      <c r="J26" s="54"/>
      <c r="K26" s="49"/>
      <c r="L26" s="49"/>
      <c r="M26" s="52"/>
      <c r="N26" s="48"/>
      <c r="Q26" s="5" t="s">
        <v>235</v>
      </c>
      <c r="R26" s="5" t="s">
        <v>238</v>
      </c>
      <c r="S26" s="5" t="s">
        <v>241</v>
      </c>
      <c r="T26" s="5">
        <v>20</v>
      </c>
      <c r="U26" s="5" t="s">
        <v>242</v>
      </c>
      <c r="V26" s="5" t="s">
        <v>245</v>
      </c>
    </row>
    <row r="27" spans="2:22">
      <c r="B27" s="40">
        <f t="shared" si="0"/>
        <v>20</v>
      </c>
      <c r="C27" s="47" t="s">
        <v>87</v>
      </c>
      <c r="D27" s="48"/>
      <c r="E27" s="47" t="s">
        <v>83</v>
      </c>
      <c r="F27" s="48"/>
      <c r="G27" s="43" t="s">
        <v>80</v>
      </c>
      <c r="H27" s="44"/>
      <c r="I27" s="55"/>
      <c r="J27" s="54"/>
      <c r="K27" s="49"/>
      <c r="L27" s="49"/>
      <c r="M27" s="52"/>
      <c r="N27" s="48"/>
      <c r="Q27" s="5" t="s">
        <v>236</v>
      </c>
      <c r="R27" s="5" t="s">
        <v>240</v>
      </c>
      <c r="V27" s="5" t="s">
        <v>245</v>
      </c>
    </row>
    <row r="28" spans="2:22">
      <c r="B28" s="40">
        <f t="shared" si="0"/>
        <v>21</v>
      </c>
      <c r="C28" s="47"/>
      <c r="D28" s="48"/>
      <c r="E28" s="47"/>
      <c r="F28" s="48"/>
      <c r="G28" s="51"/>
      <c r="H28" s="44"/>
      <c r="I28" s="55"/>
      <c r="J28" s="54"/>
      <c r="K28" s="49"/>
      <c r="L28" s="49"/>
      <c r="M28" s="52"/>
      <c r="N28" s="48"/>
      <c r="P28" s="5" t="s">
        <v>244</v>
      </c>
    </row>
    <row r="29" spans="2:22">
      <c r="B29" s="40">
        <f t="shared" si="0"/>
        <v>22</v>
      </c>
      <c r="C29" s="47"/>
      <c r="D29" s="48"/>
      <c r="E29" s="47"/>
      <c r="F29" s="48"/>
      <c r="G29" s="51"/>
      <c r="H29" s="44"/>
      <c r="I29" s="49"/>
      <c r="J29" s="46"/>
      <c r="K29" s="49"/>
      <c r="L29" s="49"/>
      <c r="M29" s="52"/>
      <c r="N29" s="48"/>
    </row>
    <row r="32" spans="2:22">
      <c r="C32" s="21" t="s">
        <v>112</v>
      </c>
    </row>
    <row r="33" spans="3:3" ht="17.25">
      <c r="C33" s="7" t="s">
        <v>93</v>
      </c>
    </row>
  </sheetData>
  <mergeCells count="1">
    <mergeCell ref="M7:N7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V29"/>
  <sheetViews>
    <sheetView showGridLines="0" workbookViewId="0">
      <selection activeCell="P6" sqref="P6:V25"/>
    </sheetView>
  </sheetViews>
  <sheetFormatPr defaultRowHeight="16.5"/>
  <cols>
    <col min="1" max="1" width="1.75" style="5" customWidth="1"/>
    <col min="2" max="2" width="4.5" style="5" customWidth="1"/>
    <col min="3" max="6" width="9" style="5"/>
    <col min="7" max="7" width="14.5" style="5" customWidth="1"/>
    <col min="8" max="11" width="9" style="5"/>
    <col min="12" max="12" width="11.25" style="5" bestFit="1" customWidth="1"/>
    <col min="13" max="13" width="52" style="5" customWidth="1"/>
    <col min="14" max="14" width="2.125" style="5" customWidth="1"/>
    <col min="15" max="16" width="9" style="5"/>
    <col min="17" max="17" width="12.75" style="5" bestFit="1" customWidth="1"/>
    <col min="18" max="18" width="16.875" style="5" bestFit="1" customWidth="1"/>
    <col min="19" max="19" width="2.375" style="5" bestFit="1" customWidth="1"/>
    <col min="20" max="20" width="5.125" style="5" bestFit="1" customWidth="1"/>
    <col min="21" max="21" width="2.375" style="5" bestFit="1" customWidth="1"/>
    <col min="22" max="22" width="11.875" style="5" bestFit="1" customWidth="1"/>
    <col min="23" max="16384" width="9" style="5"/>
  </cols>
  <sheetData>
    <row r="2" spans="2:22">
      <c r="B2" s="5" t="s">
        <v>132</v>
      </c>
    </row>
    <row r="3" spans="2:22">
      <c r="C3" s="56" t="s">
        <v>133</v>
      </c>
      <c r="G3" s="91" t="s">
        <v>229</v>
      </c>
    </row>
    <row r="4" spans="2:22" ht="9.75" customHeight="1">
      <c r="C4" s="56"/>
    </row>
    <row r="5" spans="2:22">
      <c r="B5" s="29" t="s">
        <v>53</v>
      </c>
      <c r="C5" s="30" t="s">
        <v>54</v>
      </c>
      <c r="D5" s="31"/>
      <c r="E5" s="30" t="s">
        <v>55</v>
      </c>
      <c r="F5" s="32"/>
      <c r="G5" s="33" t="s">
        <v>56</v>
      </c>
      <c r="H5" s="33" t="s">
        <v>57</v>
      </c>
      <c r="I5" s="33" t="s">
        <v>58</v>
      </c>
      <c r="J5" s="33" t="s">
        <v>59</v>
      </c>
      <c r="K5" s="33" t="s">
        <v>60</v>
      </c>
      <c r="L5" s="33" t="s">
        <v>61</v>
      </c>
      <c r="M5" s="30" t="s">
        <v>62</v>
      </c>
      <c r="N5" s="34"/>
    </row>
    <row r="6" spans="2:22">
      <c r="B6" s="35"/>
      <c r="C6" s="36"/>
      <c r="D6" s="37"/>
      <c r="E6" s="36"/>
      <c r="F6" s="38"/>
      <c r="G6" s="37"/>
      <c r="H6" s="37"/>
      <c r="I6" s="37" t="s">
        <v>63</v>
      </c>
      <c r="J6" s="37" t="s">
        <v>64</v>
      </c>
      <c r="K6" s="37"/>
      <c r="L6" s="37" t="s">
        <v>65</v>
      </c>
      <c r="M6" s="36"/>
      <c r="N6" s="39"/>
      <c r="P6" s="5" t="s">
        <v>230</v>
      </c>
      <c r="R6" s="5" t="s">
        <v>228</v>
      </c>
      <c r="S6" s="5" t="s">
        <v>241</v>
      </c>
    </row>
    <row r="7" spans="2:22">
      <c r="B7" s="40">
        <f t="shared" ref="B7:B26" si="0">ROW()-7</f>
        <v>0</v>
      </c>
      <c r="C7" s="41" t="s">
        <v>89</v>
      </c>
      <c r="D7" s="42"/>
      <c r="E7" s="41" t="s">
        <v>88</v>
      </c>
      <c r="F7" s="42"/>
      <c r="G7" s="43" t="s">
        <v>71</v>
      </c>
      <c r="H7" s="44">
        <v>8</v>
      </c>
      <c r="I7" s="53" t="s">
        <v>67</v>
      </c>
      <c r="J7" s="54" t="s">
        <v>70</v>
      </c>
      <c r="K7" s="45"/>
      <c r="L7" s="45"/>
      <c r="M7" s="92" t="s">
        <v>72</v>
      </c>
      <c r="N7" s="93"/>
      <c r="Q7" s="5" t="s">
        <v>231</v>
      </c>
      <c r="R7" s="5" t="s">
        <v>237</v>
      </c>
      <c r="S7" s="5" t="s">
        <v>241</v>
      </c>
      <c r="T7" s="5">
        <v>8</v>
      </c>
      <c r="U7" s="5" t="s">
        <v>242</v>
      </c>
      <c r="V7" s="5" t="s">
        <v>243</v>
      </c>
    </row>
    <row r="8" spans="2:22">
      <c r="B8" s="40">
        <f t="shared" si="0"/>
        <v>1</v>
      </c>
      <c r="C8" s="41" t="s">
        <v>90</v>
      </c>
      <c r="D8" s="42"/>
      <c r="E8" s="89" t="s">
        <v>183</v>
      </c>
      <c r="F8" s="90"/>
      <c r="G8" s="43" t="s">
        <v>69</v>
      </c>
      <c r="H8" s="44">
        <v>20</v>
      </c>
      <c r="I8" s="53" t="s">
        <v>67</v>
      </c>
      <c r="J8" s="54" t="s">
        <v>68</v>
      </c>
      <c r="K8" s="49"/>
      <c r="L8" s="49"/>
      <c r="M8" s="57"/>
      <c r="N8" s="58"/>
      <c r="Q8" s="5" t="s">
        <v>182</v>
      </c>
      <c r="R8" s="5" t="s">
        <v>238</v>
      </c>
      <c r="S8" s="5" t="s">
        <v>241</v>
      </c>
      <c r="T8" s="5">
        <v>20</v>
      </c>
      <c r="U8" s="5" t="s">
        <v>242</v>
      </c>
      <c r="V8" s="5" t="s">
        <v>243</v>
      </c>
    </row>
    <row r="9" spans="2:22">
      <c r="B9" s="40">
        <f t="shared" si="0"/>
        <v>2</v>
      </c>
      <c r="C9" s="47" t="s">
        <v>91</v>
      </c>
      <c r="D9" s="42"/>
      <c r="E9" s="89" t="s">
        <v>225</v>
      </c>
      <c r="F9" s="90"/>
      <c r="G9" s="43" t="s">
        <v>66</v>
      </c>
      <c r="H9" s="44">
        <v>4</v>
      </c>
      <c r="I9" s="54"/>
      <c r="J9" s="54"/>
      <c r="K9" s="49"/>
      <c r="L9" s="49"/>
      <c r="M9" s="59" t="s">
        <v>124</v>
      </c>
      <c r="N9" s="60"/>
      <c r="Q9" s="5" t="s">
        <v>224</v>
      </c>
      <c r="R9" s="5" t="s">
        <v>237</v>
      </c>
      <c r="S9" s="5" t="s">
        <v>241</v>
      </c>
      <c r="T9" s="5">
        <v>4</v>
      </c>
      <c r="U9" s="5" t="s">
        <v>242</v>
      </c>
      <c r="V9" s="5" t="s">
        <v>245</v>
      </c>
    </row>
    <row r="10" spans="2:22">
      <c r="B10" s="40">
        <f t="shared" si="0"/>
        <v>3</v>
      </c>
      <c r="C10" s="47" t="s">
        <v>129</v>
      </c>
      <c r="D10" s="42"/>
      <c r="E10" s="89" t="s">
        <v>227</v>
      </c>
      <c r="F10" s="90"/>
      <c r="G10" s="43" t="s">
        <v>66</v>
      </c>
      <c r="H10" s="44">
        <v>4</v>
      </c>
      <c r="I10" s="55"/>
      <c r="J10" s="54"/>
      <c r="K10" s="49"/>
      <c r="L10" s="49"/>
      <c r="M10" s="59" t="s">
        <v>130</v>
      </c>
      <c r="N10" s="60"/>
      <c r="Q10" s="5" t="s">
        <v>226</v>
      </c>
      <c r="R10" s="5" t="s">
        <v>237</v>
      </c>
      <c r="S10" s="5" t="s">
        <v>241</v>
      </c>
      <c r="T10" s="5">
        <v>4</v>
      </c>
      <c r="U10" s="5" t="s">
        <v>242</v>
      </c>
      <c r="V10" s="5" t="s">
        <v>245</v>
      </c>
    </row>
    <row r="11" spans="2:22" ht="28.5">
      <c r="B11" s="40">
        <f t="shared" si="0"/>
        <v>4</v>
      </c>
      <c r="C11" s="47" t="s">
        <v>117</v>
      </c>
      <c r="D11" s="42"/>
      <c r="E11" s="89" t="s">
        <v>223</v>
      </c>
      <c r="F11" s="90"/>
      <c r="G11" s="43" t="s">
        <v>69</v>
      </c>
      <c r="H11" s="44">
        <v>100</v>
      </c>
      <c r="I11" s="55"/>
      <c r="J11" s="54"/>
      <c r="K11" s="49"/>
      <c r="L11" s="49"/>
      <c r="M11" s="59" t="s">
        <v>131</v>
      </c>
      <c r="N11" s="60"/>
      <c r="Q11" s="5" t="s">
        <v>222</v>
      </c>
      <c r="R11" s="5" t="s">
        <v>238</v>
      </c>
      <c r="S11" s="5" t="s">
        <v>241</v>
      </c>
      <c r="T11" s="5">
        <v>100</v>
      </c>
      <c r="U11" s="5" t="s">
        <v>242</v>
      </c>
      <c r="V11" s="5" t="s">
        <v>245</v>
      </c>
    </row>
    <row r="12" spans="2:22">
      <c r="B12" s="40">
        <f t="shared" si="0"/>
        <v>5</v>
      </c>
      <c r="C12" s="47" t="s">
        <v>118</v>
      </c>
      <c r="D12" s="42"/>
      <c r="E12" s="89" t="s">
        <v>221</v>
      </c>
      <c r="F12" s="90"/>
      <c r="G12" s="43" t="s">
        <v>66</v>
      </c>
      <c r="H12" s="44">
        <v>10</v>
      </c>
      <c r="I12" s="55"/>
      <c r="J12" s="54" t="s">
        <v>68</v>
      </c>
      <c r="K12" s="49"/>
      <c r="L12" s="49"/>
      <c r="M12" s="59" t="s">
        <v>121</v>
      </c>
      <c r="N12" s="60"/>
      <c r="Q12" s="5" t="s">
        <v>220</v>
      </c>
      <c r="R12" s="5" t="s">
        <v>237</v>
      </c>
      <c r="S12" s="5" t="s">
        <v>241</v>
      </c>
      <c r="T12" s="5">
        <v>10</v>
      </c>
      <c r="U12" s="5" t="s">
        <v>242</v>
      </c>
      <c r="V12" s="5" t="s">
        <v>243</v>
      </c>
    </row>
    <row r="13" spans="2:22">
      <c r="B13" s="40">
        <f t="shared" si="0"/>
        <v>6</v>
      </c>
      <c r="C13" s="47" t="s">
        <v>119</v>
      </c>
      <c r="D13" s="42"/>
      <c r="E13" s="89" t="s">
        <v>219</v>
      </c>
      <c r="F13" s="90"/>
      <c r="G13" s="43" t="s">
        <v>69</v>
      </c>
      <c r="H13" s="44">
        <v>20</v>
      </c>
      <c r="I13" s="55"/>
      <c r="J13" s="54"/>
      <c r="K13" s="49"/>
      <c r="L13" s="49"/>
      <c r="M13" s="59" t="s">
        <v>122</v>
      </c>
      <c r="N13" s="60"/>
      <c r="Q13" s="5" t="s">
        <v>218</v>
      </c>
      <c r="R13" s="5" t="s">
        <v>238</v>
      </c>
      <c r="S13" s="5" t="s">
        <v>241</v>
      </c>
      <c r="T13" s="5">
        <v>20</v>
      </c>
      <c r="U13" s="5" t="s">
        <v>242</v>
      </c>
      <c r="V13" s="5" t="s">
        <v>245</v>
      </c>
    </row>
    <row r="14" spans="2:22">
      <c r="B14" s="40">
        <f t="shared" si="0"/>
        <v>7</v>
      </c>
      <c r="C14" s="47" t="s">
        <v>120</v>
      </c>
      <c r="D14" s="48"/>
      <c r="E14" s="89" t="s">
        <v>217</v>
      </c>
      <c r="F14" s="90"/>
      <c r="G14" s="43" t="s">
        <v>69</v>
      </c>
      <c r="H14" s="44">
        <v>100</v>
      </c>
      <c r="I14" s="55"/>
      <c r="J14" s="54"/>
      <c r="K14" s="49"/>
      <c r="L14" s="49"/>
      <c r="M14" s="59" t="s">
        <v>123</v>
      </c>
      <c r="N14" s="60"/>
      <c r="Q14" s="5" t="s">
        <v>216</v>
      </c>
      <c r="R14" s="5" t="s">
        <v>238</v>
      </c>
      <c r="S14" s="5" t="s">
        <v>241</v>
      </c>
      <c r="T14" s="5">
        <v>100</v>
      </c>
      <c r="U14" s="5" t="s">
        <v>242</v>
      </c>
      <c r="V14" s="5" t="s">
        <v>245</v>
      </c>
    </row>
    <row r="15" spans="2:22">
      <c r="B15" s="40">
        <f t="shared" si="0"/>
        <v>8</v>
      </c>
      <c r="C15" s="47" t="s">
        <v>125</v>
      </c>
      <c r="D15" s="48"/>
      <c r="E15" s="89" t="s">
        <v>215</v>
      </c>
      <c r="F15" s="90"/>
      <c r="G15" s="43" t="s">
        <v>69</v>
      </c>
      <c r="H15" s="44">
        <v>20</v>
      </c>
      <c r="I15" s="55"/>
      <c r="J15" s="54"/>
      <c r="K15" s="49"/>
      <c r="L15" s="49"/>
      <c r="M15" s="59" t="s">
        <v>126</v>
      </c>
      <c r="N15" s="60"/>
      <c r="Q15" s="5" t="s">
        <v>214</v>
      </c>
      <c r="R15" s="5" t="s">
        <v>238</v>
      </c>
      <c r="S15" s="5" t="s">
        <v>241</v>
      </c>
      <c r="T15" s="5">
        <v>20</v>
      </c>
      <c r="U15" s="5" t="s">
        <v>242</v>
      </c>
      <c r="V15" s="5" t="s">
        <v>245</v>
      </c>
    </row>
    <row r="16" spans="2:22">
      <c r="B16" s="40">
        <f t="shared" si="0"/>
        <v>9</v>
      </c>
      <c r="C16" s="47" t="s">
        <v>127</v>
      </c>
      <c r="D16" s="48"/>
      <c r="E16" s="89" t="s">
        <v>213</v>
      </c>
      <c r="F16" s="90"/>
      <c r="G16" s="43" t="s">
        <v>69</v>
      </c>
      <c r="H16" s="44">
        <v>20</v>
      </c>
      <c r="I16" s="55"/>
      <c r="J16" s="54"/>
      <c r="K16" s="49"/>
      <c r="L16" s="49"/>
      <c r="M16" s="59" t="s">
        <v>128</v>
      </c>
      <c r="N16" s="60"/>
      <c r="Q16" s="5" t="s">
        <v>212</v>
      </c>
      <c r="R16" s="5" t="s">
        <v>238</v>
      </c>
      <c r="S16" s="5" t="s">
        <v>241</v>
      </c>
      <c r="T16" s="5">
        <v>20</v>
      </c>
      <c r="U16" s="5" t="s">
        <v>242</v>
      </c>
      <c r="V16" s="5" t="s">
        <v>245</v>
      </c>
    </row>
    <row r="17" spans="2:22">
      <c r="B17" s="40">
        <f t="shared" si="0"/>
        <v>10</v>
      </c>
      <c r="C17" s="47" t="s">
        <v>109</v>
      </c>
      <c r="D17" s="48"/>
      <c r="E17" s="89" t="s">
        <v>207</v>
      </c>
      <c r="F17" s="90"/>
      <c r="G17" s="43" t="s">
        <v>69</v>
      </c>
      <c r="H17" s="44">
        <v>100</v>
      </c>
      <c r="I17" s="55"/>
      <c r="J17" s="54"/>
      <c r="K17" s="49"/>
      <c r="L17" s="49"/>
      <c r="M17" s="59"/>
      <c r="N17" s="60"/>
      <c r="Q17" s="5" t="s">
        <v>206</v>
      </c>
      <c r="R17" s="5" t="s">
        <v>238</v>
      </c>
      <c r="S17" s="5" t="s">
        <v>241</v>
      </c>
      <c r="T17" s="5">
        <v>100</v>
      </c>
      <c r="U17" s="5" t="s">
        <v>242</v>
      </c>
      <c r="V17" s="5" t="s">
        <v>245</v>
      </c>
    </row>
    <row r="18" spans="2:22">
      <c r="B18" s="40">
        <f t="shared" si="0"/>
        <v>11</v>
      </c>
      <c r="C18" s="47" t="s">
        <v>110</v>
      </c>
      <c r="D18" s="48"/>
      <c r="E18" s="89" t="s">
        <v>208</v>
      </c>
      <c r="F18" s="90"/>
      <c r="G18" s="43" t="s">
        <v>69</v>
      </c>
      <c r="H18" s="44">
        <v>50</v>
      </c>
      <c r="I18" s="55"/>
      <c r="J18" s="54"/>
      <c r="K18" s="49"/>
      <c r="L18" s="49"/>
      <c r="M18" s="59"/>
      <c r="N18" s="60"/>
      <c r="Q18" s="5" t="s">
        <v>208</v>
      </c>
      <c r="R18" s="5" t="s">
        <v>238</v>
      </c>
      <c r="S18" s="5" t="s">
        <v>241</v>
      </c>
      <c r="T18" s="5">
        <v>50</v>
      </c>
      <c r="U18" s="5" t="s">
        <v>242</v>
      </c>
      <c r="V18" s="5" t="s">
        <v>245</v>
      </c>
    </row>
    <row r="19" spans="2:22">
      <c r="B19" s="40">
        <f t="shared" si="0"/>
        <v>12</v>
      </c>
      <c r="C19" s="47" t="s">
        <v>111</v>
      </c>
      <c r="D19" s="48"/>
      <c r="E19" s="89" t="s">
        <v>209</v>
      </c>
      <c r="F19" s="90"/>
      <c r="G19" s="43" t="s">
        <v>69</v>
      </c>
      <c r="H19" s="44">
        <v>50</v>
      </c>
      <c r="I19" s="55"/>
      <c r="J19" s="54"/>
      <c r="K19" s="49"/>
      <c r="L19" s="49"/>
      <c r="M19" s="59"/>
      <c r="N19" s="60"/>
      <c r="Q19" s="5" t="s">
        <v>209</v>
      </c>
      <c r="R19" s="5" t="s">
        <v>238</v>
      </c>
      <c r="S19" s="5" t="s">
        <v>241</v>
      </c>
      <c r="T19" s="5">
        <v>50</v>
      </c>
      <c r="U19" s="5" t="s">
        <v>242</v>
      </c>
      <c r="V19" s="5" t="s">
        <v>245</v>
      </c>
    </row>
    <row r="20" spans="2:22">
      <c r="B20" s="40">
        <f t="shared" si="0"/>
        <v>13</v>
      </c>
      <c r="C20" s="47" t="s">
        <v>75</v>
      </c>
      <c r="D20" s="48"/>
      <c r="E20" s="47" t="s">
        <v>76</v>
      </c>
      <c r="F20" s="48"/>
      <c r="G20" s="43" t="s">
        <v>74</v>
      </c>
      <c r="H20" s="44">
        <v>1</v>
      </c>
      <c r="I20" s="55"/>
      <c r="J20" s="54"/>
      <c r="K20" s="49"/>
      <c r="L20" s="49"/>
      <c r="M20" s="59" t="s">
        <v>85</v>
      </c>
      <c r="N20" s="60"/>
      <c r="Q20" s="5" t="s">
        <v>232</v>
      </c>
      <c r="R20" s="5" t="s">
        <v>239</v>
      </c>
      <c r="S20" s="5" t="s">
        <v>241</v>
      </c>
      <c r="T20" s="5">
        <v>1</v>
      </c>
      <c r="U20" s="5" t="s">
        <v>242</v>
      </c>
      <c r="V20" s="5" t="s">
        <v>245</v>
      </c>
    </row>
    <row r="21" spans="2:22">
      <c r="B21" s="40">
        <f t="shared" si="0"/>
        <v>14</v>
      </c>
      <c r="C21" s="47" t="s">
        <v>77</v>
      </c>
      <c r="D21" s="48"/>
      <c r="E21" s="47" t="s">
        <v>78</v>
      </c>
      <c r="F21" s="48"/>
      <c r="G21" s="43" t="s">
        <v>69</v>
      </c>
      <c r="H21" s="44">
        <v>20</v>
      </c>
      <c r="I21" s="55"/>
      <c r="J21" s="54"/>
      <c r="K21" s="49"/>
      <c r="L21" s="49"/>
      <c r="M21" s="59"/>
      <c r="N21" s="60"/>
      <c r="Q21" s="5" t="s">
        <v>233</v>
      </c>
      <c r="R21" s="5" t="s">
        <v>238</v>
      </c>
      <c r="S21" s="5" t="s">
        <v>241</v>
      </c>
      <c r="T21" s="5">
        <v>20</v>
      </c>
      <c r="U21" s="5" t="s">
        <v>242</v>
      </c>
      <c r="V21" s="5" t="s">
        <v>245</v>
      </c>
    </row>
    <row r="22" spans="2:22">
      <c r="B22" s="40">
        <f t="shared" si="0"/>
        <v>15</v>
      </c>
      <c r="C22" s="47" t="s">
        <v>86</v>
      </c>
      <c r="D22" s="48"/>
      <c r="E22" s="47" t="s">
        <v>79</v>
      </c>
      <c r="F22" s="48"/>
      <c r="G22" s="43" t="s">
        <v>80</v>
      </c>
      <c r="H22" s="44"/>
      <c r="I22" s="55"/>
      <c r="J22" s="54"/>
      <c r="K22" s="49"/>
      <c r="L22" s="49"/>
      <c r="M22" s="59"/>
      <c r="N22" s="60"/>
      <c r="Q22" s="5" t="s">
        <v>234</v>
      </c>
      <c r="R22" s="5" t="s">
        <v>240</v>
      </c>
      <c r="S22" s="5" t="s">
        <v>241</v>
      </c>
      <c r="U22" s="5" t="s">
        <v>242</v>
      </c>
      <c r="V22" s="5" t="s">
        <v>245</v>
      </c>
    </row>
    <row r="23" spans="2:22">
      <c r="B23" s="40">
        <f t="shared" si="0"/>
        <v>16</v>
      </c>
      <c r="C23" s="47" t="s">
        <v>81</v>
      </c>
      <c r="D23" s="48"/>
      <c r="E23" s="47" t="s">
        <v>82</v>
      </c>
      <c r="F23" s="48"/>
      <c r="G23" s="43" t="s">
        <v>69</v>
      </c>
      <c r="H23" s="44">
        <v>20</v>
      </c>
      <c r="I23" s="55"/>
      <c r="J23" s="54"/>
      <c r="K23" s="49"/>
      <c r="L23" s="49"/>
      <c r="M23" s="59"/>
      <c r="N23" s="60"/>
      <c r="Q23" s="5" t="s">
        <v>235</v>
      </c>
      <c r="R23" s="5" t="s">
        <v>238</v>
      </c>
      <c r="S23" s="5" t="s">
        <v>241</v>
      </c>
      <c r="T23" s="5">
        <v>20</v>
      </c>
      <c r="U23" s="5" t="s">
        <v>242</v>
      </c>
      <c r="V23" s="5" t="s">
        <v>245</v>
      </c>
    </row>
    <row r="24" spans="2:22">
      <c r="B24" s="40">
        <f t="shared" si="0"/>
        <v>17</v>
      </c>
      <c r="C24" s="47" t="s">
        <v>87</v>
      </c>
      <c r="D24" s="48"/>
      <c r="E24" s="47" t="s">
        <v>83</v>
      </c>
      <c r="F24" s="48"/>
      <c r="G24" s="43" t="s">
        <v>80</v>
      </c>
      <c r="H24" s="44"/>
      <c r="I24" s="55"/>
      <c r="J24" s="54"/>
      <c r="K24" s="49"/>
      <c r="L24" s="49"/>
      <c r="M24" s="59"/>
      <c r="N24" s="60"/>
      <c r="Q24" s="5" t="s">
        <v>236</v>
      </c>
      <c r="R24" s="5" t="s">
        <v>240</v>
      </c>
      <c r="S24" s="5" t="s">
        <v>241</v>
      </c>
      <c r="U24" s="5" t="s">
        <v>242</v>
      </c>
      <c r="V24" s="5" t="s">
        <v>245</v>
      </c>
    </row>
    <row r="25" spans="2:22">
      <c r="B25" s="40">
        <f t="shared" si="0"/>
        <v>18</v>
      </c>
      <c r="C25" s="47"/>
      <c r="D25" s="48"/>
      <c r="E25" s="47"/>
      <c r="F25" s="48"/>
      <c r="G25" s="51"/>
      <c r="H25" s="44"/>
      <c r="I25" s="55"/>
      <c r="J25" s="54"/>
      <c r="K25" s="49"/>
      <c r="L25" s="49"/>
      <c r="M25" s="59"/>
      <c r="N25" s="60"/>
      <c r="P25" s="5" t="s">
        <v>244</v>
      </c>
    </row>
    <row r="26" spans="2:22">
      <c r="B26" s="40">
        <f t="shared" si="0"/>
        <v>19</v>
      </c>
      <c r="C26" s="47"/>
      <c r="D26" s="48"/>
      <c r="E26" s="47"/>
      <c r="F26" s="48"/>
      <c r="G26" s="51"/>
      <c r="H26" s="44"/>
      <c r="I26" s="49"/>
      <c r="J26" s="46"/>
      <c r="K26" s="49"/>
      <c r="L26" s="49"/>
      <c r="M26" s="59"/>
      <c r="N26" s="60"/>
    </row>
    <row r="29" spans="2:22">
      <c r="C29" s="21"/>
    </row>
  </sheetData>
  <mergeCells count="1">
    <mergeCell ref="M7:N7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AB69"/>
  <sheetViews>
    <sheetView showGridLines="0" workbookViewId="0">
      <selection activeCell="AF39" sqref="AF39"/>
    </sheetView>
  </sheetViews>
  <sheetFormatPr defaultColWidth="3.625" defaultRowHeight="16.5"/>
  <cols>
    <col min="1" max="2" width="3.625" style="7"/>
    <col min="3" max="3" width="1.375" style="7" customWidth="1"/>
    <col min="4" max="6" width="3.625" style="7"/>
    <col min="7" max="7" width="4.5" style="7" bestFit="1" customWidth="1"/>
    <col min="8" max="14" width="3.625" style="7"/>
    <col min="15" max="15" width="4.5" style="7" bestFit="1" customWidth="1"/>
    <col min="16" max="16384" width="3.625" style="7"/>
  </cols>
  <sheetData>
    <row r="3" spans="3:28" ht="7.5" customHeight="1">
      <c r="C3" s="69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</row>
    <row r="4" spans="3:28" ht="26.25" customHeight="1">
      <c r="C4" s="72"/>
      <c r="D4" s="75" t="s">
        <v>149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4"/>
    </row>
    <row r="5" spans="3:28">
      <c r="C5" s="6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63"/>
    </row>
    <row r="6" spans="3:28">
      <c r="C6" s="61"/>
      <c r="D6" s="8"/>
      <c r="E6" s="64" t="s">
        <v>135</v>
      </c>
      <c r="G6" s="65" t="s">
        <v>46</v>
      </c>
      <c r="H6" s="8"/>
      <c r="I6" s="8"/>
      <c r="J6" s="8"/>
      <c r="K6" s="8"/>
      <c r="L6" s="8"/>
      <c r="M6" s="64" t="s">
        <v>136</v>
      </c>
      <c r="O6" s="8" t="s">
        <v>34</v>
      </c>
      <c r="P6" s="8"/>
      <c r="Q6" s="8"/>
      <c r="R6" s="8"/>
      <c r="S6" s="8"/>
      <c r="T6" s="8"/>
      <c r="U6" s="81" t="s">
        <v>180</v>
      </c>
      <c r="V6" s="8"/>
      <c r="W6" s="8"/>
      <c r="X6" s="8">
        <v>2</v>
      </c>
      <c r="Y6" s="8"/>
      <c r="Z6" s="8"/>
      <c r="AA6" s="8"/>
      <c r="AB6" s="63"/>
    </row>
    <row r="7" spans="3:28">
      <c r="C7" s="61"/>
      <c r="D7" s="8"/>
      <c r="E7" s="64" t="s">
        <v>137</v>
      </c>
      <c r="G7" s="8">
        <v>6</v>
      </c>
      <c r="H7" s="8"/>
      <c r="I7" s="8"/>
      <c r="J7" s="8"/>
      <c r="K7" s="8"/>
      <c r="L7" s="8"/>
      <c r="M7" s="64" t="s">
        <v>150</v>
      </c>
      <c r="N7" s="8"/>
      <c r="O7" s="8">
        <v>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63"/>
    </row>
    <row r="8" spans="3:28">
      <c r="C8" s="61"/>
      <c r="D8" s="8"/>
      <c r="E8" s="64" t="s">
        <v>98</v>
      </c>
      <c r="G8" s="8">
        <v>30</v>
      </c>
      <c r="H8" s="8"/>
      <c r="I8" s="8"/>
      <c r="J8" s="8"/>
      <c r="K8" s="8"/>
      <c r="L8" s="8"/>
      <c r="M8" s="64" t="s">
        <v>37</v>
      </c>
      <c r="N8" s="8"/>
      <c r="O8" s="8">
        <v>1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63"/>
    </row>
    <row r="9" spans="3:28">
      <c r="C9" s="6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63"/>
    </row>
    <row r="10" spans="3:28">
      <c r="C10" s="61"/>
      <c r="D10" s="12" t="s">
        <v>52</v>
      </c>
      <c r="E10" s="11"/>
      <c r="F10" s="9"/>
      <c r="G10" s="12" t="s">
        <v>152</v>
      </c>
      <c r="H10" s="11"/>
      <c r="I10" s="12" t="s">
        <v>138</v>
      </c>
      <c r="J10" s="9"/>
      <c r="K10" s="12" t="s">
        <v>142</v>
      </c>
      <c r="L10" s="11"/>
      <c r="M10" s="9"/>
      <c r="N10" s="12" t="s">
        <v>139</v>
      </c>
      <c r="O10" s="11"/>
      <c r="P10" s="11"/>
      <c r="Q10" s="11"/>
      <c r="R10" s="9"/>
      <c r="S10" s="12" t="s">
        <v>140</v>
      </c>
      <c r="T10" s="11"/>
      <c r="U10" s="9"/>
      <c r="V10" s="12" t="s">
        <v>141</v>
      </c>
      <c r="W10" s="11"/>
      <c r="X10" s="11"/>
      <c r="Y10" s="12" t="s">
        <v>151</v>
      </c>
      <c r="Z10" s="11"/>
      <c r="AA10" s="9"/>
      <c r="AB10" s="63"/>
    </row>
    <row r="11" spans="3:28" ht="21.75" customHeight="1">
      <c r="C11" s="61"/>
      <c r="D11" s="12">
        <v>1</v>
      </c>
      <c r="E11" s="11"/>
      <c r="F11" s="9"/>
      <c r="G11" s="12">
        <v>6</v>
      </c>
      <c r="H11" s="11"/>
      <c r="I11" s="19" t="s">
        <v>144</v>
      </c>
      <c r="J11" s="14"/>
      <c r="K11" s="12" t="s">
        <v>145</v>
      </c>
      <c r="L11" s="11"/>
      <c r="M11" s="9"/>
      <c r="N11" s="12" t="s">
        <v>146</v>
      </c>
      <c r="O11" s="11"/>
      <c r="P11" s="11"/>
      <c r="Q11" s="11"/>
      <c r="R11" s="9"/>
      <c r="S11" s="12" t="s">
        <v>147</v>
      </c>
      <c r="T11" s="11"/>
      <c r="U11" s="9"/>
      <c r="V11" s="22" t="s">
        <v>148</v>
      </c>
      <c r="W11" s="23"/>
      <c r="X11" s="23"/>
      <c r="Y11" s="12"/>
      <c r="Z11" s="11" t="s">
        <v>153</v>
      </c>
      <c r="AA11" s="9"/>
      <c r="AB11" s="63"/>
    </row>
    <row r="12" spans="3:28">
      <c r="C12" s="61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63"/>
    </row>
    <row r="13" spans="3:28">
      <c r="C13" s="61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63"/>
    </row>
    <row r="14" spans="3:28">
      <c r="C14" s="61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63"/>
    </row>
    <row r="15" spans="3:28">
      <c r="C15" s="61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63"/>
    </row>
    <row r="16" spans="3:28">
      <c r="C16" s="6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63"/>
    </row>
    <row r="17" spans="3:28">
      <c r="C17" s="6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63"/>
    </row>
    <row r="18" spans="3:28">
      <c r="C18" s="6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63"/>
    </row>
    <row r="19" spans="3:28">
      <c r="C19" s="6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63"/>
    </row>
    <row r="20" spans="3:28">
      <c r="C20" s="6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63"/>
    </row>
    <row r="21" spans="3:28">
      <c r="C21" s="6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63"/>
    </row>
    <row r="22" spans="3:28">
      <c r="C22" s="6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63"/>
    </row>
    <row r="23" spans="3:28">
      <c r="C23" s="6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63"/>
    </row>
    <row r="24" spans="3:28">
      <c r="C24" s="6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63"/>
    </row>
    <row r="25" spans="3:28">
      <c r="C25" s="6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63"/>
    </row>
    <row r="26" spans="3:28">
      <c r="C26" s="6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63"/>
    </row>
    <row r="27" spans="3:28">
      <c r="C27" s="6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63"/>
    </row>
    <row r="28" spans="3:28">
      <c r="C28" s="6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63"/>
    </row>
    <row r="29" spans="3:28">
      <c r="C29" s="6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63"/>
    </row>
    <row r="30" spans="3:28">
      <c r="C30" s="6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63"/>
    </row>
    <row r="31" spans="3:28">
      <c r="C31" s="6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63"/>
    </row>
    <row r="32" spans="3:28">
      <c r="C32" s="6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63"/>
    </row>
    <row r="33" spans="3:28">
      <c r="C33" s="6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63"/>
    </row>
    <row r="34" spans="3:28">
      <c r="C34" s="66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8"/>
    </row>
    <row r="40" spans="3:28">
      <c r="C40" s="69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1"/>
    </row>
    <row r="41" spans="3:28" ht="22.5">
      <c r="C41" s="72"/>
      <c r="D41" s="75" t="s">
        <v>149</v>
      </c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4"/>
    </row>
    <row r="42" spans="3:28">
      <c r="C42" s="6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63"/>
    </row>
    <row r="43" spans="3:28">
      <c r="C43" s="61"/>
      <c r="D43" s="8"/>
      <c r="E43" s="64" t="s">
        <v>135</v>
      </c>
      <c r="G43" s="65" t="s">
        <v>46</v>
      </c>
      <c r="H43" s="8"/>
      <c r="I43" s="8"/>
      <c r="J43" s="8"/>
      <c r="K43" s="8"/>
      <c r="L43" s="8"/>
      <c r="M43" s="64" t="s">
        <v>136</v>
      </c>
      <c r="O43" s="8" t="s">
        <v>34</v>
      </c>
      <c r="P43" s="8"/>
      <c r="Q43" s="8"/>
      <c r="R43" s="8"/>
      <c r="S43" s="8"/>
      <c r="T43" s="8"/>
      <c r="U43" s="8"/>
      <c r="V43" s="81" t="s">
        <v>180</v>
      </c>
      <c r="W43" s="8"/>
      <c r="X43" s="8"/>
      <c r="Y43" s="8">
        <v>1</v>
      </c>
      <c r="Z43" s="8"/>
      <c r="AA43" s="8"/>
      <c r="AB43" s="63"/>
    </row>
    <row r="44" spans="3:28">
      <c r="C44" s="61"/>
      <c r="D44" s="8"/>
      <c r="E44" s="64" t="s">
        <v>137</v>
      </c>
      <c r="G44" s="8">
        <v>610</v>
      </c>
      <c r="H44" s="8"/>
      <c r="I44" s="8"/>
      <c r="J44" s="8"/>
      <c r="K44" s="8"/>
      <c r="L44" s="8"/>
      <c r="M44" s="64" t="s">
        <v>150</v>
      </c>
      <c r="N44" s="8"/>
      <c r="O44" s="8">
        <v>100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63"/>
    </row>
    <row r="45" spans="3:28">
      <c r="C45" s="61"/>
      <c r="D45" s="8"/>
      <c r="E45" s="64" t="s">
        <v>98</v>
      </c>
      <c r="G45" s="8">
        <v>60</v>
      </c>
      <c r="H45" s="8"/>
      <c r="I45" s="8"/>
      <c r="J45" s="8"/>
      <c r="K45" s="8"/>
      <c r="L45" s="8"/>
      <c r="M45" s="64" t="s">
        <v>37</v>
      </c>
      <c r="N45" s="8"/>
      <c r="O45" s="8">
        <v>10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63"/>
    </row>
    <row r="46" spans="3:28">
      <c r="C46" s="6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63"/>
    </row>
    <row r="47" spans="3:28">
      <c r="C47" s="61"/>
      <c r="D47" s="12" t="s">
        <v>52</v>
      </c>
      <c r="E47" s="11"/>
      <c r="F47" s="9"/>
      <c r="G47" s="12" t="s">
        <v>36</v>
      </c>
      <c r="H47" s="11"/>
      <c r="I47" s="12" t="s">
        <v>138</v>
      </c>
      <c r="J47" s="9"/>
      <c r="K47" s="12" t="s">
        <v>142</v>
      </c>
      <c r="L47" s="11"/>
      <c r="M47" s="9"/>
      <c r="N47" s="12" t="s">
        <v>139</v>
      </c>
      <c r="O47" s="11"/>
      <c r="P47" s="11"/>
      <c r="Q47" s="11"/>
      <c r="R47" s="9"/>
      <c r="S47" s="12" t="s">
        <v>140</v>
      </c>
      <c r="T47" s="11"/>
      <c r="U47" s="9"/>
      <c r="V47" s="12" t="s">
        <v>141</v>
      </c>
      <c r="W47" s="11"/>
      <c r="X47" s="11"/>
      <c r="Y47" s="12" t="s">
        <v>151</v>
      </c>
      <c r="Z47" s="11"/>
      <c r="AA47" s="9"/>
      <c r="AB47" s="63"/>
    </row>
    <row r="48" spans="3:28" ht="25.5" customHeight="1">
      <c r="C48" s="61"/>
      <c r="D48" s="12">
        <v>1</v>
      </c>
      <c r="E48" s="11"/>
      <c r="F48" s="9"/>
      <c r="G48" s="12">
        <v>60</v>
      </c>
      <c r="H48" s="11"/>
      <c r="I48" s="76"/>
      <c r="J48" s="77"/>
      <c r="K48" s="12"/>
      <c r="L48" s="11"/>
      <c r="M48" s="9"/>
      <c r="N48" s="12"/>
      <c r="O48" s="11"/>
      <c r="P48" s="11"/>
      <c r="Q48" s="11"/>
      <c r="R48" s="9"/>
      <c r="S48" s="12"/>
      <c r="T48" s="11"/>
      <c r="U48" s="9"/>
      <c r="V48" s="12"/>
      <c r="W48" s="11"/>
      <c r="X48" s="11"/>
      <c r="Y48" s="12"/>
      <c r="Z48" s="11"/>
      <c r="AA48" s="9"/>
      <c r="AB48" s="63"/>
    </row>
    <row r="49" spans="3:28" ht="25.5" customHeight="1">
      <c r="C49" s="61"/>
      <c r="D49" s="12">
        <v>2</v>
      </c>
      <c r="E49" s="11"/>
      <c r="F49" s="9"/>
      <c r="G49" s="12">
        <v>60</v>
      </c>
      <c r="H49" s="11"/>
      <c r="I49" s="76"/>
      <c r="J49" s="77"/>
      <c r="K49" s="12"/>
      <c r="L49" s="11"/>
      <c r="M49" s="9"/>
      <c r="N49" s="12"/>
      <c r="O49" s="11"/>
      <c r="P49" s="11"/>
      <c r="Q49" s="11"/>
      <c r="R49" s="9"/>
      <c r="S49" s="12"/>
      <c r="T49" s="11"/>
      <c r="U49" s="9"/>
      <c r="V49" s="12"/>
      <c r="W49" s="11"/>
      <c r="X49" s="11"/>
      <c r="Y49" s="12"/>
      <c r="Z49" s="11"/>
      <c r="AA49" s="9"/>
      <c r="AB49" s="63"/>
    </row>
    <row r="50" spans="3:28" ht="25.5" customHeight="1">
      <c r="C50" s="61"/>
      <c r="D50" s="12">
        <v>3</v>
      </c>
      <c r="E50" s="11"/>
      <c r="F50" s="9"/>
      <c r="G50" s="12">
        <v>60</v>
      </c>
      <c r="H50" s="11"/>
      <c r="I50" s="76"/>
      <c r="J50" s="77"/>
      <c r="K50" s="12"/>
      <c r="L50" s="11"/>
      <c r="M50" s="9"/>
      <c r="N50" s="12"/>
      <c r="O50" s="11"/>
      <c r="P50" s="11"/>
      <c r="Q50" s="11"/>
      <c r="R50" s="9"/>
      <c r="S50" s="12"/>
      <c r="T50" s="11"/>
      <c r="U50" s="9"/>
      <c r="V50" s="12"/>
      <c r="W50" s="11"/>
      <c r="X50" s="11"/>
      <c r="Y50" s="12"/>
      <c r="Z50" s="11"/>
      <c r="AA50" s="9"/>
      <c r="AB50" s="63"/>
    </row>
    <row r="51" spans="3:28" ht="25.5" customHeight="1">
      <c r="C51" s="61"/>
      <c r="D51" s="12">
        <v>4</v>
      </c>
      <c r="E51" s="11"/>
      <c r="F51" s="9"/>
      <c r="G51" s="12">
        <v>60</v>
      </c>
      <c r="H51" s="11"/>
      <c r="I51" s="76"/>
      <c r="J51" s="77"/>
      <c r="K51" s="12"/>
      <c r="L51" s="11"/>
      <c r="M51" s="9"/>
      <c r="N51" s="12"/>
      <c r="O51" s="11"/>
      <c r="P51" s="11"/>
      <c r="Q51" s="11"/>
      <c r="R51" s="9"/>
      <c r="S51" s="12"/>
      <c r="T51" s="11"/>
      <c r="U51" s="9"/>
      <c r="V51" s="12"/>
      <c r="W51" s="11"/>
      <c r="X51" s="11"/>
      <c r="Y51" s="12"/>
      <c r="Z51" s="11"/>
      <c r="AA51" s="9"/>
      <c r="AB51" s="63"/>
    </row>
    <row r="52" spans="3:28" ht="25.5" customHeight="1">
      <c r="C52" s="61"/>
      <c r="D52" s="12">
        <v>5</v>
      </c>
      <c r="E52" s="11"/>
      <c r="F52" s="9"/>
      <c r="G52" s="12">
        <v>60</v>
      </c>
      <c r="H52" s="11"/>
      <c r="I52" s="76"/>
      <c r="J52" s="77"/>
      <c r="K52" s="12"/>
      <c r="L52" s="11"/>
      <c r="M52" s="9"/>
      <c r="N52" s="12"/>
      <c r="O52" s="11"/>
      <c r="P52" s="11"/>
      <c r="Q52" s="11"/>
      <c r="R52" s="9"/>
      <c r="S52" s="12"/>
      <c r="T52" s="11"/>
      <c r="U52" s="9"/>
      <c r="V52" s="12"/>
      <c r="W52" s="11"/>
      <c r="X52" s="11"/>
      <c r="Y52" s="12"/>
      <c r="Z52" s="11"/>
      <c r="AA52" s="9"/>
      <c r="AB52" s="63"/>
    </row>
    <row r="53" spans="3:28" ht="25.5" customHeight="1">
      <c r="C53" s="61"/>
      <c r="D53" s="12">
        <v>6</v>
      </c>
      <c r="E53" s="11"/>
      <c r="F53" s="9"/>
      <c r="G53" s="12">
        <v>60</v>
      </c>
      <c r="H53" s="11"/>
      <c r="I53" s="76"/>
      <c r="J53" s="77"/>
      <c r="K53" s="12"/>
      <c r="L53" s="11"/>
      <c r="M53" s="9"/>
      <c r="N53" s="12"/>
      <c r="O53" s="11"/>
      <c r="P53" s="11"/>
      <c r="Q53" s="11"/>
      <c r="R53" s="9"/>
      <c r="S53" s="12"/>
      <c r="T53" s="11"/>
      <c r="U53" s="9"/>
      <c r="V53" s="12"/>
      <c r="W53" s="11"/>
      <c r="X53" s="11"/>
      <c r="Y53" s="12"/>
      <c r="Z53" s="11"/>
      <c r="AA53" s="9"/>
      <c r="AB53" s="63"/>
    </row>
    <row r="54" spans="3:28" ht="25.5" customHeight="1">
      <c r="C54" s="61"/>
      <c r="D54" s="12">
        <v>7</v>
      </c>
      <c r="E54" s="11"/>
      <c r="F54" s="9"/>
      <c r="G54" s="12">
        <v>60</v>
      </c>
      <c r="H54" s="11"/>
      <c r="I54" s="76"/>
      <c r="J54" s="77"/>
      <c r="K54" s="12"/>
      <c r="L54" s="11"/>
      <c r="M54" s="9"/>
      <c r="N54" s="12"/>
      <c r="O54" s="11"/>
      <c r="P54" s="11"/>
      <c r="Q54" s="11"/>
      <c r="R54" s="9"/>
      <c r="S54" s="12"/>
      <c r="T54" s="11"/>
      <c r="U54" s="9"/>
      <c r="V54" s="12"/>
      <c r="W54" s="11"/>
      <c r="X54" s="11"/>
      <c r="Y54" s="12"/>
      <c r="Z54" s="11"/>
      <c r="AA54" s="9"/>
      <c r="AB54" s="63"/>
    </row>
    <row r="55" spans="3:28" ht="25.5" customHeight="1">
      <c r="C55" s="61"/>
      <c r="D55" s="12">
        <v>8</v>
      </c>
      <c r="E55" s="11"/>
      <c r="F55" s="9"/>
      <c r="G55" s="12">
        <v>60</v>
      </c>
      <c r="H55" s="11"/>
      <c r="I55" s="76"/>
      <c r="J55" s="77"/>
      <c r="K55" s="12"/>
      <c r="L55" s="11"/>
      <c r="M55" s="9"/>
      <c r="N55" s="12"/>
      <c r="O55" s="11"/>
      <c r="P55" s="11"/>
      <c r="Q55" s="11"/>
      <c r="R55" s="9"/>
      <c r="S55" s="12"/>
      <c r="T55" s="11"/>
      <c r="U55" s="9"/>
      <c r="V55" s="12"/>
      <c r="W55" s="11"/>
      <c r="X55" s="11"/>
      <c r="Y55" s="12"/>
      <c r="Z55" s="11"/>
      <c r="AA55" s="9"/>
      <c r="AB55" s="63"/>
    </row>
    <row r="56" spans="3:28" ht="25.5" customHeight="1">
      <c r="C56" s="61"/>
      <c r="D56" s="12">
        <v>9</v>
      </c>
      <c r="E56" s="11"/>
      <c r="F56" s="9"/>
      <c r="G56" s="12">
        <v>60</v>
      </c>
      <c r="H56" s="11"/>
      <c r="I56" s="76"/>
      <c r="J56" s="77"/>
      <c r="K56" s="12"/>
      <c r="L56" s="11"/>
      <c r="M56" s="9"/>
      <c r="N56" s="12"/>
      <c r="O56" s="11"/>
      <c r="P56" s="11"/>
      <c r="Q56" s="11"/>
      <c r="R56" s="9"/>
      <c r="S56" s="12"/>
      <c r="T56" s="11"/>
      <c r="U56" s="9"/>
      <c r="V56" s="12"/>
      <c r="W56" s="11"/>
      <c r="X56" s="11"/>
      <c r="Y56" s="12"/>
      <c r="Z56" s="11"/>
      <c r="AA56" s="9"/>
      <c r="AB56" s="63"/>
    </row>
    <row r="57" spans="3:28" ht="25.5" customHeight="1">
      <c r="C57" s="61"/>
      <c r="D57" s="12">
        <v>10</v>
      </c>
      <c r="E57" s="11"/>
      <c r="F57" s="9"/>
      <c r="G57" s="12">
        <v>60</v>
      </c>
      <c r="H57" s="11"/>
      <c r="I57" s="76"/>
      <c r="J57" s="77"/>
      <c r="K57" s="12"/>
      <c r="L57" s="11"/>
      <c r="M57" s="9"/>
      <c r="N57" s="12"/>
      <c r="O57" s="11"/>
      <c r="P57" s="11"/>
      <c r="Q57" s="11"/>
      <c r="R57" s="9"/>
      <c r="S57" s="12"/>
      <c r="T57" s="11"/>
      <c r="U57" s="9"/>
      <c r="V57" s="12"/>
      <c r="W57" s="11"/>
      <c r="X57" s="11"/>
      <c r="Y57" s="12"/>
      <c r="Z57" s="11"/>
      <c r="AA57" s="9"/>
      <c r="AB57" s="63"/>
    </row>
    <row r="58" spans="3:28" ht="25.5" customHeight="1">
      <c r="C58" s="61"/>
      <c r="D58" s="12">
        <v>11</v>
      </c>
      <c r="E58" s="11"/>
      <c r="F58" s="9"/>
      <c r="G58" s="12">
        <v>10</v>
      </c>
      <c r="H58" s="11"/>
      <c r="I58" s="76"/>
      <c r="J58" s="77"/>
      <c r="K58" s="12"/>
      <c r="L58" s="11"/>
      <c r="M58" s="9"/>
      <c r="N58" s="12"/>
      <c r="O58" s="11"/>
      <c r="P58" s="11"/>
      <c r="Q58" s="11"/>
      <c r="R58" s="9"/>
      <c r="S58" s="12"/>
      <c r="T58" s="11"/>
      <c r="U58" s="9"/>
      <c r="V58" s="12"/>
      <c r="W58" s="11"/>
      <c r="X58" s="11"/>
      <c r="Y58" s="12"/>
      <c r="Z58" s="11"/>
      <c r="AA58" s="9"/>
      <c r="AB58" s="63"/>
    </row>
    <row r="59" spans="3:28">
      <c r="C59" s="6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63"/>
    </row>
    <row r="60" spans="3:28">
      <c r="C60" s="6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63"/>
    </row>
    <row r="61" spans="3:28">
      <c r="C61" s="6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63"/>
    </row>
    <row r="62" spans="3:28">
      <c r="C62" s="6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63"/>
    </row>
    <row r="63" spans="3:28">
      <c r="C63" s="6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63"/>
    </row>
    <row r="64" spans="3:28">
      <c r="C64" s="6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63"/>
    </row>
    <row r="65" spans="3:28">
      <c r="C65" s="6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63"/>
    </row>
    <row r="66" spans="3:28">
      <c r="C66" s="6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63"/>
    </row>
    <row r="67" spans="3:28">
      <c r="C67" s="6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63"/>
    </row>
    <row r="68" spans="3:28">
      <c r="C68" s="6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63"/>
    </row>
    <row r="69" spans="3:28">
      <c r="C69" s="66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8"/>
    </row>
  </sheetData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7262-EF7B-484E-A270-C22338739C07}">
  <sheetPr>
    <tabColor theme="7" tint="0.59999389629810485"/>
  </sheetPr>
  <dimension ref="A43:D110"/>
  <sheetViews>
    <sheetView tabSelected="1" workbookViewId="0"/>
  </sheetViews>
  <sheetFormatPr defaultRowHeight="14.25"/>
  <sheetData>
    <row r="43" spans="1:1">
      <c r="A43" t="s">
        <v>246</v>
      </c>
    </row>
    <row r="49" spans="3:3">
      <c r="C49" t="s">
        <v>247</v>
      </c>
    </row>
    <row r="50" spans="3:3">
      <c r="C50" t="s">
        <v>248</v>
      </c>
    </row>
    <row r="51" spans="3:3">
      <c r="C51" t="s">
        <v>249</v>
      </c>
    </row>
    <row r="52" spans="3:3">
      <c r="C52" t="s">
        <v>250</v>
      </c>
    </row>
    <row r="87" spans="3:4">
      <c r="C87" t="s">
        <v>251</v>
      </c>
    </row>
    <row r="88" spans="3:4">
      <c r="D88" t="s">
        <v>252</v>
      </c>
    </row>
    <row r="89" spans="3:4">
      <c r="D89" t="s">
        <v>253</v>
      </c>
    </row>
    <row r="91" spans="3:4">
      <c r="C91" t="s">
        <v>254</v>
      </c>
    </row>
    <row r="92" spans="3:4">
      <c r="D92" t="s">
        <v>255</v>
      </c>
    </row>
    <row r="93" spans="3:4">
      <c r="D93" t="s">
        <v>256</v>
      </c>
    </row>
    <row r="94" spans="3:4">
      <c r="D94" t="s">
        <v>257</v>
      </c>
    </row>
    <row r="96" spans="3:4">
      <c r="C96" t="s">
        <v>258</v>
      </c>
    </row>
    <row r="98" spans="3:3">
      <c r="C98" t="s">
        <v>259</v>
      </c>
    </row>
    <row r="100" spans="3:3">
      <c r="C100" t="s">
        <v>260</v>
      </c>
    </row>
    <row r="102" spans="3:3">
      <c r="C102" t="s">
        <v>261</v>
      </c>
    </row>
    <row r="104" spans="3:3">
      <c r="C104" t="s">
        <v>262</v>
      </c>
    </row>
    <row r="106" spans="3:3">
      <c r="C106" t="s">
        <v>263</v>
      </c>
    </row>
    <row r="108" spans="3:3">
      <c r="C108" t="s">
        <v>264</v>
      </c>
    </row>
    <row r="110" spans="3:3">
      <c r="C110" t="s">
        <v>265</v>
      </c>
    </row>
  </sheetData>
  <phoneticPr fontId="6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包装程序外壳对象" shapeId="5121" r:id="rId4">
          <objectPr defaultSize="0" r:id="rId5">
            <anchor moveWithCells="1">
              <from>
                <xdr:col>2</xdr:col>
                <xdr:colOff>28575</xdr:colOff>
                <xdr:row>43</xdr:row>
                <xdr:rowOff>19050</xdr:rowOff>
              </from>
              <to>
                <xdr:col>2</xdr:col>
                <xdr:colOff>657225</xdr:colOff>
                <xdr:row>46</xdr:row>
                <xdr:rowOff>9525</xdr:rowOff>
              </to>
            </anchor>
          </objectPr>
        </oleObject>
      </mc:Choice>
      <mc:Fallback>
        <oleObject progId="包装程序外壳对象" shapeId="5121" r:id="rId4"/>
      </mc:Fallback>
    </mc:AlternateContent>
    <mc:AlternateContent xmlns:mc="http://schemas.openxmlformats.org/markup-compatibility/2006">
      <mc:Choice Requires="x14">
        <oleObject progId="包装程序外壳对象" shapeId="5122" r:id="rId6">
          <objectPr defaultSize="0" r:id="rId7">
            <anchor moveWithCells="1">
              <from>
                <xdr:col>4</xdr:col>
                <xdr:colOff>19050</xdr:colOff>
                <xdr:row>43</xdr:row>
                <xdr:rowOff>19050</xdr:rowOff>
              </from>
              <to>
                <xdr:col>5</xdr:col>
                <xdr:colOff>533400</xdr:colOff>
                <xdr:row>46</xdr:row>
                <xdr:rowOff>9525</xdr:rowOff>
              </to>
            </anchor>
          </objectPr>
        </oleObject>
      </mc:Choice>
      <mc:Fallback>
        <oleObject progId="包装程序外壳对象" shapeId="5122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方案</vt:lpstr>
      <vt:lpstr>画面</vt:lpstr>
      <vt:lpstr>功能一览表</vt:lpstr>
      <vt:lpstr>报工数据流程</vt:lpstr>
      <vt:lpstr>报工LIST表</vt:lpstr>
      <vt:lpstr>报工明细表</vt:lpstr>
      <vt:lpstr>报工画面</vt:lpstr>
      <vt:lpstr>报工开发资料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2021-10-14T14:54:32Z</dcterms:modified>
</cp:coreProperties>
</file>